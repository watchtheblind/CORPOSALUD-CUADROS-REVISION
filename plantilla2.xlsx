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drea\Documents\GitHub\CORPOSALUD-CUADROS-REVISION\"/>
    </mc:Choice>
  </mc:AlternateContent>
  <bookViews>
    <workbookView xWindow="0" yWindow="0" windowWidth="23970" windowHeight="7860" tabRatio="599"/>
  </bookViews>
  <sheets>
    <sheet name="JULIO 2025" sheetId="65" r:id="rId1"/>
  </sheets>
  <definedNames>
    <definedName name="_xlnm._FilterDatabase" localSheetId="0" hidden="1">'JULIO 2025'!$A$1:$FH$724</definedName>
    <definedName name="DATOS_AGO_OC" localSheetId="0">'JULIO 2025'!$AI$1:$EL$1</definedName>
  </definedNames>
  <calcPr calcId="152511"/>
</workbook>
</file>

<file path=xl/calcChain.xml><?xml version="1.0" encoding="utf-8"?>
<calcChain xmlns="http://schemas.openxmlformats.org/spreadsheetml/2006/main">
  <c r="BQ2" i="65" l="1"/>
  <c r="DC384" i="65" l="1"/>
  <c r="DD384" i="65" s="1"/>
  <c r="CZ384" i="65"/>
  <c r="DA384" i="65" s="1"/>
  <c r="CV384" i="65"/>
  <c r="CW384" i="65" s="1"/>
  <c r="CN384" i="65"/>
  <c r="CO384" i="65" s="1"/>
  <c r="EZ2" i="65"/>
  <c r="EY2" i="65" l="1"/>
  <c r="EX2" i="65"/>
  <c r="FG2" i="65"/>
  <c r="FB2" i="65" l="1"/>
  <c r="FH2" i="65"/>
  <c r="FF2" i="65"/>
  <c r="FE2" i="65"/>
  <c r="FD2" i="65"/>
  <c r="FC2" i="65"/>
  <c r="DC2" i="65"/>
  <c r="DD2" i="65" s="1"/>
  <c r="CZ2" i="65"/>
  <c r="DA2" i="65" s="1"/>
  <c r="CV2" i="65"/>
  <c r="CW2" i="65" s="1"/>
  <c r="CR2" i="65"/>
  <c r="CS2" i="65" s="1"/>
  <c r="CN2" i="65"/>
  <c r="CO2" i="65" s="1"/>
  <c r="CJ2" i="65"/>
  <c r="CK2" i="65" s="1"/>
  <c r="CG2" i="65"/>
  <c r="CH2" i="65" s="1"/>
  <c r="CC2" i="65"/>
  <c r="CD2" i="65" s="1"/>
  <c r="BY2" i="65"/>
  <c r="BZ2" i="65" s="1"/>
  <c r="BU2" i="65"/>
  <c r="BV2" i="65" s="1"/>
  <c r="BR2" i="65"/>
  <c r="BM2" i="65"/>
  <c r="BN2" i="65" s="1"/>
  <c r="BJ2" i="65"/>
  <c r="BK2" i="65" s="1"/>
  <c r="BG2" i="65"/>
  <c r="BH2" i="65" s="1"/>
  <c r="BD2" i="65"/>
  <c r="BE2" i="65" s="1"/>
  <c r="BA2" i="65"/>
  <c r="BB2" i="65" s="1"/>
  <c r="AX2" i="65"/>
  <c r="AY2" i="65" s="1"/>
  <c r="AU2" i="65"/>
  <c r="AV2" i="65" s="1"/>
  <c r="AQ2" i="65"/>
  <c r="AR2" i="65" s="1"/>
  <c r="AJ2" i="65"/>
  <c r="AK2" i="65" s="1"/>
  <c r="FA2" i="65" l="1"/>
</calcChain>
</file>

<file path=xl/connections.xml><?xml version="1.0" encoding="utf-8"?>
<connections xmlns="http://schemas.openxmlformats.org/spreadsheetml/2006/main">
  <connection id="1" name="DATOS AGO OC1111111111111111111111111111111211111111" type="6" refreshedVersion="4" background="1" saveData="1">
    <textPr sourceFile="E:\Users\M2PC45\Desktop\DATOS AGO OC.csv" decimal="," thousands="." tab="0" semicolon="1">
      <textFields count="1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<sst xmlns="http://schemas.openxmlformats.org/spreadsheetml/2006/main" count="164" uniqueCount="123">
  <si>
    <t>CEDULA</t>
  </si>
  <si>
    <t>FECHA NAC.</t>
  </si>
  <si>
    <t>SEXO</t>
  </si>
  <si>
    <t>TIPO EMPLEADO</t>
  </si>
  <si>
    <t>COD. NOMINA</t>
  </si>
  <si>
    <t>DESC. CARGO</t>
  </si>
  <si>
    <t>ESPECIALIDAD MÉD 1</t>
  </si>
  <si>
    <t xml:space="preserve"> ESPECIALIDAD MÉD 2</t>
  </si>
  <si>
    <t>ESTADO</t>
  </si>
  <si>
    <t>ENTIDAD BANCARIA</t>
  </si>
  <si>
    <t>CUENTA NOMINA</t>
  </si>
  <si>
    <t>CUENTA ACTIVA</t>
  </si>
  <si>
    <t>FECHA INGRESO</t>
  </si>
  <si>
    <t xml:space="preserve"> ANNOS REC</t>
  </si>
  <si>
    <t>MESES REC</t>
  </si>
  <si>
    <t xml:space="preserve"> PORC ANTIGUEDAD</t>
  </si>
  <si>
    <t>PORC ESCALAF</t>
  </si>
  <si>
    <t>NRO HIJOS</t>
  </si>
  <si>
    <t>UBICACION FISICA</t>
  </si>
  <si>
    <t>NOMBRE CENTRO</t>
  </si>
  <si>
    <t>SUELDO NORMAL</t>
  </si>
  <si>
    <t>FACTOR DOM Y FER NOCT</t>
  </si>
  <si>
    <t xml:space="preserve"> FACTOR DOM Y FER 24H</t>
  </si>
  <si>
    <t>FACTOR DOM Y FER. DIURNOS</t>
  </si>
  <si>
    <t>FACTOR</t>
  </si>
  <si>
    <t>FORMULA</t>
  </si>
  <si>
    <t>DIFERENCIA</t>
  </si>
  <si>
    <t>CARGA HORARIA</t>
  </si>
  <si>
    <t>101 SUELDO Y/O SALARIO</t>
  </si>
  <si>
    <t>102 COMPENSACION POR EVALUACIÓN</t>
  </si>
  <si>
    <t>106 PRIMA ANTIGUEDAD</t>
  </si>
  <si>
    <t>110 AJUST. ESCALAFÓN MÉDICO</t>
  </si>
  <si>
    <t>128 BECAS</t>
  </si>
  <si>
    <t>400 PRIMA SIST. PUB. SALUD</t>
  </si>
  <si>
    <t>105.4 PRIMA PROFE. 20%</t>
  </si>
  <si>
    <t>105.5 PRIMA PROFE. 25%</t>
  </si>
  <si>
    <t>105.6 PRIMA PROFE. 30%</t>
  </si>
  <si>
    <t>105.7 PRIMA PROFE. 35%</t>
  </si>
  <si>
    <t>105.8 PRIMA PROFE. 40%</t>
  </si>
  <si>
    <t>110.8 ESCALAFÓN</t>
  </si>
  <si>
    <t>120.5.1 BONO NOCT. FIJO</t>
  </si>
  <si>
    <t>124.4 DIA ADICIONAL</t>
  </si>
  <si>
    <t>140.2.16 DOMINGO Y FERIADO NOCT</t>
  </si>
  <si>
    <t>140.2.17 DOMINGO Y FERIADO 24H</t>
  </si>
  <si>
    <t>140.2.18 DOMINGO Y FER. DIURNOS</t>
  </si>
  <si>
    <t>143.4.10 BONO NOCT. TEMP (6 HRS)</t>
  </si>
  <si>
    <t>155.3 PRIMA POR HIJOS</t>
  </si>
  <si>
    <t>160.17 BONO VACACIONAL</t>
  </si>
  <si>
    <t>178 DESC PARC X PAGO INDEBIDO</t>
  </si>
  <si>
    <t>202 JUZG PRIMERO DE MENORES</t>
  </si>
  <si>
    <t>212 CAHORMINSAS</t>
  </si>
  <si>
    <t>213 SUNEP</t>
  </si>
  <si>
    <t>215 TRIBUNAL (PERMANENTE)</t>
  </si>
  <si>
    <t>223 PREST CAJA DE AHORRO</t>
  </si>
  <si>
    <t>224 COLEGIO ENFERMERAS</t>
  </si>
  <si>
    <t>238 CAEMINSA</t>
  </si>
  <si>
    <t>244 PERDIDA INVOLUNTARIA DEL EMPLEO</t>
  </si>
  <si>
    <t>245 FAOV</t>
  </si>
  <si>
    <t>255 COLEGIO BIOANALISTA</t>
  </si>
  <si>
    <t>257 SOCIEDAD ANESTECIOLOGOS</t>
  </si>
  <si>
    <t>269 CAHORMINSAS</t>
  </si>
  <si>
    <t>301 FONDO PENSIONES (JUBILACION)</t>
  </si>
  <si>
    <t>321 SINBOPROENF</t>
  </si>
  <si>
    <t>370 DEL REG INPRENFER ARAGUA</t>
  </si>
  <si>
    <t>583 SISTRASALUD</t>
  </si>
  <si>
    <t>799 ASUNAJUPENSAPROSO</t>
  </si>
  <si>
    <t>807 TRIBUNAL DE PROTECCION DE NIÑOS</t>
  </si>
  <si>
    <t xml:space="preserve"> 978 SINDICATO OSBESS</t>
  </si>
  <si>
    <t>927 AYUD SERV FUNERARIO</t>
  </si>
  <si>
    <t>132 BONIF POR NACIMIENTO</t>
  </si>
  <si>
    <t>135 BONIF POR MATRIMONIO</t>
  </si>
  <si>
    <t>140.1 DOMINGO Y FERIADO MEDICO</t>
  </si>
  <si>
    <t>143.3 BONO NOCTURNO MEDICO (6HORAS)</t>
  </si>
  <si>
    <t>143.4 BONO NOCTURNO MEDICO (8HORAS)</t>
  </si>
  <si>
    <t xml:space="preserve"> 513 FENISISTRASALUD</t>
  </si>
  <si>
    <t xml:space="preserve"> 964 SAPTRASEZ</t>
  </si>
  <si>
    <t xml:space="preserve"> 965 COLEG ENF EDO LARA</t>
  </si>
  <si>
    <t xml:space="preserve"> 966 SUPTRASADESINCA</t>
  </si>
  <si>
    <t>967 COLEG ENF EDO CARABOBO</t>
  </si>
  <si>
    <t xml:space="preserve"> 973 SESTRASALUD</t>
  </si>
  <si>
    <t>GRADO</t>
  </si>
  <si>
    <t>179 DESC, DIA(S) NO LABORADO(S)</t>
  </si>
  <si>
    <t xml:space="preserve"> 210 S,S,O, (4%)</t>
  </si>
  <si>
    <t>233 SINDICAT UNICO TRAB,DE LA SALUD</t>
  </si>
  <si>
    <t>286 COLEGIO NUTRIC, Y DIET</t>
  </si>
  <si>
    <t>1ER APELLIDO</t>
  </si>
  <si>
    <t>2DO APELLIDO</t>
  </si>
  <si>
    <t>1ER NOMBRE</t>
  </si>
  <si>
    <t>2DO NOMBRE</t>
  </si>
  <si>
    <t>NIVEL CARGO</t>
  </si>
  <si>
    <t>127.1 JUGUETES</t>
  </si>
  <si>
    <t>161 BONO NAVIDEÑO</t>
  </si>
  <si>
    <t>117 DIF. DE SUELDO Y/O SALARIO</t>
  </si>
  <si>
    <t>PROFESION</t>
  </si>
  <si>
    <t>COD. CARGO</t>
  </si>
  <si>
    <t>STATUS</t>
  </si>
  <si>
    <t>UBICACION ADMINISTRATIVA</t>
  </si>
  <si>
    <t>ASIG 1ERA</t>
  </si>
  <si>
    <t>ASIG 2DA</t>
  </si>
  <si>
    <t>DEDUCCIONES</t>
  </si>
  <si>
    <t>TOTAL 1ERA QCNA SUELDO</t>
  </si>
  <si>
    <t>TOTAL 2DA QCNA SUELDO</t>
  </si>
  <si>
    <t>TOTAL BONO VACACIONAL</t>
  </si>
  <si>
    <t>TOTAL BONO NOCTURNO</t>
  </si>
  <si>
    <t>TOTAL DOMINGO</t>
  </si>
  <si>
    <t>TOTAL PRIMA POR HIJO Y BECAS</t>
  </si>
  <si>
    <t>TOTAL UNIFORME</t>
  </si>
  <si>
    <t>143.5 BONO NOCT. 8 H</t>
  </si>
  <si>
    <t xml:space="preserve">FACTOR </t>
  </si>
  <si>
    <t>155.5 DIA DEL PADRE</t>
  </si>
  <si>
    <t>155.6 DIA DEL NIÑO</t>
  </si>
  <si>
    <t>148.1 UNIFORMES</t>
  </si>
  <si>
    <t>907 CAJA DE AHORRO</t>
  </si>
  <si>
    <t>910 PENSIÓN ALIMENTACIÓN</t>
  </si>
  <si>
    <t>581 SITRASSS MIRANDA</t>
  </si>
  <si>
    <t>111 COMP. Y AJUSTE DE ESCALA</t>
  </si>
  <si>
    <t>603 COLEG ENF EDO MIRANDA</t>
  </si>
  <si>
    <t>529 CUOTA SINDICAL CLAUSULA 90</t>
  </si>
  <si>
    <t>TOTAL DIA NIÑO</t>
  </si>
  <si>
    <t>FECHA DE INACTIVACION</t>
  </si>
  <si>
    <t>ASIC</t>
  </si>
  <si>
    <t>MUNICIPIO</t>
  </si>
  <si>
    <t>111.5 COMP. EVAL. 2DO SEM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</si>
</sst>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 applyAlignment="1">
      <alignment vertical="center" wrapText="1"/>
    </xf>
    <xf numFmtId="2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/>
    </xf>
    <xf numFmtId="2" fontId="16" fillId="35" borderId="0" xfId="0" applyNumberFormat="1" applyFont="1" applyFill="1" applyAlignment="1">
      <alignment horizontal="center" vertical="center" wrapText="1"/>
    </xf>
    <xf numFmtId="2" fontId="16" fillId="33" borderId="0" xfId="0" applyNumberFormat="1" applyFont="1" applyFill="1" applyAlignment="1">
      <alignment horizontal="center" vertical="center" wrapText="1"/>
    </xf>
    <xf numFmtId="2" fontId="16" fillId="34" borderId="0" xfId="0" applyNumberFormat="1" applyFont="1" applyFill="1" applyAlignment="1">
      <alignment horizontal="center" vertical="center" wrapText="1"/>
    </xf>
    <xf numFmtId="2" fontId="16" fillId="37" borderId="0" xfId="0" applyNumberFormat="1" applyFont="1" applyFill="1" applyAlignment="1">
      <alignment horizontal="center" vertical="center" wrapText="1"/>
    </xf>
    <xf numFmtId="2" fontId="16" fillId="36" borderId="0" xfId="0" applyNumberFormat="1" applyFont="1" applyFill="1" applyAlignment="1">
      <alignment horizontal="center" vertical="center" wrapText="1"/>
    </xf>
    <xf numFmtId="2" fontId="0" fillId="34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38" borderId="0" xfId="0" applyNumberFormat="1" applyFill="1" applyAlignment="1">
      <alignment horizontal="center"/>
    </xf>
    <xf numFmtId="2" fontId="16" fillId="39" borderId="0" xfId="0" applyNumberFormat="1" applyFont="1" applyFill="1" applyAlignment="1">
      <alignment horizontal="center" vertical="center" wrapText="1"/>
    </xf>
    <xf numFmtId="2" fontId="0" fillId="39" borderId="0" xfId="0" applyNumberFormat="1" applyFill="1" applyAlignment="1">
      <alignment horizontal="center"/>
    </xf>
    <xf numFmtId="2" fontId="0" fillId="37" borderId="0" xfId="0" applyNumberForma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38" borderId="0" xfId="0" applyFill="1" applyAlignment="1">
      <alignment horizontal="center"/>
    </xf>
    <xf numFmtId="2" fontId="18" fillId="38" borderId="0" xfId="0" applyNumberFormat="1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CC99FF"/>
      <color rgb="FFFA26EB"/>
      <color rgb="FF00FFCC"/>
      <color rgb="FFDF41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 AGO O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H724"/>
  <sheetViews>
    <sheetView tabSelected="1" topLeftCell="BI1" zoomScale="70" zoomScaleNormal="70" workbookViewId="0">
      <pane ySplit="1" topLeftCell="A2" activePane="bottomLeft" state="frozen"/>
      <selection pane="bottomLeft" activeCell="BQ9" sqref="BQ9"/>
    </sheetView>
  </sheetViews>
  <sheetFormatPr baseColWidth="10" defaultColWidth="14.85546875" defaultRowHeight="15" x14ac:dyDescent="0.25"/>
  <cols>
    <col min="1" max="1" width="14.7109375" style="17" customWidth="1"/>
    <col min="2" max="2" width="15.5703125" style="11" customWidth="1"/>
    <col min="3" max="3" width="15.7109375" style="11" customWidth="1"/>
    <col min="4" max="4" width="17.42578125" style="11" customWidth="1"/>
    <col min="5" max="5" width="16.42578125" style="11" customWidth="1"/>
    <col min="6" max="6" width="12" style="11" customWidth="1"/>
    <col min="7" max="7" width="6" style="11" customWidth="1"/>
    <col min="8" max="8" width="38.140625" style="11" customWidth="1"/>
    <col min="9" max="9" width="37.85546875" style="11" customWidth="1"/>
    <col min="10" max="10" width="14.140625" style="11" customWidth="1"/>
    <col min="11" max="11" width="12.7109375" style="11" customWidth="1"/>
    <col min="12" max="12" width="66.42578125" style="11" customWidth="1"/>
    <col min="13" max="13" width="13.42578125" style="11" customWidth="1"/>
    <col min="14" max="14" width="8" style="11" customWidth="1"/>
    <col min="15" max="15" width="33.140625" style="11" customWidth="1"/>
    <col min="16" max="16" width="16.28515625" style="11" customWidth="1"/>
    <col min="17" max="17" width="9.140625" style="11" customWidth="1"/>
    <col min="18" max="18" width="11.7109375" style="11" customWidth="1"/>
    <col min="19" max="19" width="24.140625" style="11" customWidth="1"/>
    <col min="20" max="20" width="8.5703125" style="11" customWidth="1"/>
    <col min="21" max="21" width="13.7109375" style="11" customWidth="1"/>
    <col min="22" max="22" width="11.5703125" style="11" customWidth="1"/>
    <col min="23" max="23" width="12.28515625" style="11" customWidth="1"/>
    <col min="24" max="24" width="11.28515625" style="11" customWidth="1"/>
    <col min="25" max="25" width="13.5703125" style="11" customWidth="1"/>
    <col min="26" max="26" width="14.28515625" style="11" customWidth="1"/>
    <col min="27" max="27" width="9.5703125" style="11" customWidth="1"/>
    <col min="28" max="28" width="11" style="11" customWidth="1"/>
    <col min="29" max="29" width="8.140625" style="11" customWidth="1"/>
    <col min="30" max="34" width="42.85546875" style="11" customWidth="1"/>
    <col min="35" max="35" width="15" style="11" customWidth="1"/>
    <col min="36" max="36" width="16" style="11" customWidth="1"/>
    <col min="37" max="37" width="17.7109375" style="11" customWidth="1"/>
    <col min="38" max="38" width="19.85546875" style="11" customWidth="1"/>
    <col min="39" max="39" width="37.85546875" style="11" customWidth="1"/>
    <col min="40" max="40" width="22.85546875" style="11" customWidth="1"/>
    <col min="41" max="41" width="21.5703125" style="11" customWidth="1"/>
    <col min="42" max="42" width="19.28515625" style="11" customWidth="1"/>
    <col min="43" max="43" width="16" style="11" customWidth="1"/>
    <col min="44" max="44" width="17.7109375" style="11" customWidth="1"/>
    <col min="45" max="46" width="17.42578125" style="11" customWidth="1"/>
    <col min="47" max="47" width="16" style="11" customWidth="1"/>
    <col min="48" max="48" width="17.7109375" style="11" customWidth="1"/>
    <col min="49" max="49" width="16.5703125" style="11" customWidth="1"/>
    <col min="50" max="50" width="16" style="11" customWidth="1"/>
    <col min="51" max="51" width="17.7109375" style="11" customWidth="1"/>
    <col min="52" max="52" width="18.140625" style="11" customWidth="1"/>
    <col min="53" max="53" width="16" style="11" customWidth="1"/>
    <col min="54" max="54" width="17.7109375" style="11" customWidth="1"/>
    <col min="55" max="55" width="18.140625" style="11" customWidth="1"/>
    <col min="56" max="56" width="16" style="11" customWidth="1"/>
    <col min="57" max="57" width="17.7109375" style="11" customWidth="1"/>
    <col min="58" max="58" width="18.140625" style="11" customWidth="1"/>
    <col min="59" max="59" width="16" style="11" customWidth="1"/>
    <col min="60" max="60" width="17.7109375" style="11" customWidth="1"/>
    <col min="61" max="61" width="18.140625" style="11" customWidth="1"/>
    <col min="62" max="62" width="16" style="11" customWidth="1"/>
    <col min="63" max="63" width="17.7109375" style="11" customWidth="1"/>
    <col min="64" max="64" width="18.140625" style="11" customWidth="1"/>
    <col min="65" max="65" width="16" style="11" customWidth="1"/>
    <col min="66" max="66" width="17.7109375" style="11" customWidth="1"/>
    <col min="67" max="67" width="20.85546875" style="11" customWidth="1"/>
    <col min="68" max="68" width="16.7109375" style="11" customWidth="1"/>
    <col min="69" max="69" width="16" style="11" customWidth="1"/>
    <col min="70" max="70" width="17.7109375" style="11" customWidth="1"/>
    <col min="71" max="71" width="20.5703125" style="11" customWidth="1"/>
    <col min="72" max="72" width="20.85546875" style="11" customWidth="1"/>
    <col min="73" max="73" width="16" style="11" customWidth="1"/>
    <col min="74" max="74" width="17.7109375" style="11" customWidth="1"/>
    <col min="75" max="75" width="19.140625" style="11" customWidth="1"/>
    <col min="76" max="76" width="21.42578125" style="11" customWidth="1"/>
    <col min="77" max="77" width="16" style="11" customWidth="1"/>
    <col min="78" max="78" width="17.7109375" style="11" customWidth="1"/>
    <col min="79" max="79" width="22.42578125" style="11" customWidth="1"/>
    <col min="80" max="80" width="20.85546875" style="11" customWidth="1"/>
    <col min="81" max="81" width="16" style="11" customWidth="1"/>
    <col min="82" max="82" width="17.7109375" style="11" customWidth="1"/>
    <col min="83" max="83" width="18" style="11" customWidth="1"/>
    <col min="84" max="84" width="14.140625" style="11" customWidth="1"/>
    <col min="85" max="85" width="16" style="11" customWidth="1"/>
    <col min="86" max="86" width="17.7109375" style="11" customWidth="1"/>
    <col min="87" max="87" width="19.42578125" style="11" customWidth="1"/>
    <col min="88" max="88" width="16" style="11" customWidth="1"/>
    <col min="89" max="89" width="17.7109375" style="11" customWidth="1"/>
    <col min="90" max="90" width="20.5703125" style="11" customWidth="1"/>
    <col min="91" max="91" width="14.140625" style="11" customWidth="1"/>
    <col min="92" max="92" width="16" style="11" customWidth="1"/>
    <col min="93" max="93" width="17.7109375" style="11" customWidth="1"/>
    <col min="94" max="94" width="17.85546875" style="11" customWidth="1"/>
    <col min="95" max="95" width="14.140625" style="11" customWidth="1"/>
    <col min="96" max="96" width="16" style="11" customWidth="1"/>
    <col min="97" max="97" width="17.7109375" style="11" customWidth="1"/>
    <col min="98" max="98" width="17.85546875" style="11" customWidth="1"/>
    <col min="99" max="99" width="14.140625" style="11" customWidth="1"/>
    <col min="100" max="100" width="16" style="11" customWidth="1"/>
    <col min="101" max="101" width="17.7109375" style="11" customWidth="1"/>
    <col min="102" max="102" width="17.85546875" style="11" customWidth="1"/>
    <col min="103" max="103" width="14.140625" style="11" customWidth="1"/>
    <col min="104" max="104" width="16" style="11" customWidth="1"/>
    <col min="105" max="105" width="17.7109375" style="11" customWidth="1"/>
    <col min="106" max="106" width="18.85546875" style="11" bestFit="1" customWidth="1"/>
    <col min="107" max="107" width="16" style="11" bestFit="1" customWidth="1"/>
    <col min="108" max="108" width="17.7109375" style="11" bestFit="1" customWidth="1"/>
    <col min="109" max="109" width="16.42578125" style="11" bestFit="1" customWidth="1"/>
    <col min="110" max="110" width="18.140625" style="11" bestFit="1" customWidth="1"/>
    <col min="111" max="112" width="19.42578125" style="11" bestFit="1" customWidth="1"/>
    <col min="113" max="113" width="18" style="11" bestFit="1" customWidth="1"/>
    <col min="114" max="114" width="16.7109375" style="11" bestFit="1" customWidth="1"/>
    <col min="115" max="115" width="16.28515625" style="11" bestFit="1" customWidth="1"/>
    <col min="116" max="116" width="21" style="11" bestFit="1" customWidth="1"/>
    <col min="117" max="118" width="20.7109375" style="11" bestFit="1" customWidth="1"/>
    <col min="119" max="119" width="22.28515625" style="11" bestFit="1" customWidth="1"/>
    <col min="120" max="120" width="22.140625" style="11" bestFit="1" customWidth="1"/>
    <col min="121" max="121" width="18.42578125" style="11" bestFit="1" customWidth="1"/>
    <col min="122" max="122" width="21" style="11" bestFit="1" customWidth="1"/>
    <col min="123" max="123" width="20.5703125" style="11" bestFit="1" customWidth="1"/>
    <col min="124" max="124" width="16.7109375" style="11" bestFit="1" customWidth="1"/>
    <col min="125" max="125" width="20.85546875" style="11" bestFit="1" customWidth="1"/>
    <col min="126" max="126" width="21" style="11" bestFit="1" customWidth="1"/>
    <col min="127" max="127" width="19.28515625" style="11" bestFit="1" customWidth="1"/>
    <col min="128" max="128" width="21.28515625" style="11" bestFit="1" customWidth="1"/>
    <col min="129" max="129" width="20.140625" style="11" bestFit="1" customWidth="1"/>
    <col min="130" max="130" width="20.7109375" style="11" bestFit="1" customWidth="1"/>
    <col min="131" max="131" width="15.7109375" style="11" bestFit="1" customWidth="1"/>
    <col min="132" max="132" width="18.85546875" style="11" bestFit="1" customWidth="1"/>
    <col min="133" max="133" width="22.140625" style="11" bestFit="1" customWidth="1"/>
    <col min="134" max="135" width="20.5703125" style="11" bestFit="1" customWidth="1"/>
    <col min="136" max="136" width="18.85546875" style="11" bestFit="1" customWidth="1"/>
    <col min="137" max="137" width="20" style="11" bestFit="1" customWidth="1"/>
    <col min="138" max="138" width="18.42578125" style="11" bestFit="1" customWidth="1"/>
    <col min="139" max="139" width="21" style="11" bestFit="1" customWidth="1"/>
    <col min="140" max="140" width="22.42578125" style="11" bestFit="1" customWidth="1"/>
    <col min="141" max="141" width="21.42578125" style="11" bestFit="1" customWidth="1"/>
    <col min="142" max="142" width="21" style="11" bestFit="1" customWidth="1"/>
    <col min="143" max="143" width="22" style="11" bestFit="1" customWidth="1"/>
    <col min="144" max="144" width="21.42578125" style="11" bestFit="1" customWidth="1"/>
    <col min="145" max="145" width="21.28515625" style="11" bestFit="1" customWidth="1"/>
    <col min="146" max="146" width="23.140625" style="11" bestFit="1" customWidth="1"/>
    <col min="147" max="147" width="21.5703125" style="11" bestFit="1" customWidth="1"/>
    <col min="148" max="148" width="19.85546875" style="11" bestFit="1" customWidth="1"/>
    <col min="149" max="149" width="12.28515625" style="11" bestFit="1" customWidth="1"/>
    <col min="150" max="150" width="15" style="11" bestFit="1" customWidth="1"/>
    <col min="151" max="151" width="13.42578125" style="11" bestFit="1" customWidth="1"/>
    <col min="152" max="153" width="13.42578125" style="11" customWidth="1"/>
    <col min="154" max="154" width="10.7109375" style="11" bestFit="1" customWidth="1"/>
    <col min="155" max="155" width="15.5703125" style="11" bestFit="1" customWidth="1"/>
    <col min="156" max="158" width="14.28515625" style="11" bestFit="1" customWidth="1"/>
    <col min="159" max="160" width="13" style="11" bestFit="1" customWidth="1"/>
    <col min="161" max="161" width="10.7109375" style="11" bestFit="1" customWidth="1"/>
    <col min="162" max="162" width="13.42578125" style="11" bestFit="1" customWidth="1"/>
    <col min="163" max="163" width="14.5703125" style="11" bestFit="1" customWidth="1"/>
    <col min="164" max="164" width="11.28515625" style="11" bestFit="1" customWidth="1"/>
  </cols>
  <sheetData>
    <row r="1" spans="1:164" s="1" customFormat="1" ht="45" x14ac:dyDescent="0.25">
      <c r="A1" s="18" t="s">
        <v>0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1</v>
      </c>
      <c r="G1" s="2" t="s">
        <v>2</v>
      </c>
      <c r="H1" s="2" t="s">
        <v>93</v>
      </c>
      <c r="I1" s="2" t="s">
        <v>3</v>
      </c>
      <c r="J1" s="2" t="s">
        <v>4</v>
      </c>
      <c r="K1" s="2" t="s">
        <v>94</v>
      </c>
      <c r="L1" s="2" t="s">
        <v>5</v>
      </c>
      <c r="M1" s="2" t="s">
        <v>89</v>
      </c>
      <c r="N1" s="2" t="s">
        <v>80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119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27</v>
      </c>
      <c r="AB1" s="2" t="s">
        <v>17</v>
      </c>
      <c r="AC1" s="2" t="s">
        <v>95</v>
      </c>
      <c r="AD1" s="2" t="s">
        <v>96</v>
      </c>
      <c r="AE1" s="2" t="s">
        <v>18</v>
      </c>
      <c r="AF1" s="2" t="s">
        <v>19</v>
      </c>
      <c r="AG1" s="2" t="s">
        <v>120</v>
      </c>
      <c r="AH1" s="2" t="s">
        <v>121</v>
      </c>
      <c r="AI1" s="2" t="s">
        <v>20</v>
      </c>
      <c r="AJ1" s="2" t="s">
        <v>25</v>
      </c>
      <c r="AK1" s="2" t="s">
        <v>26</v>
      </c>
      <c r="AL1" s="2" t="s">
        <v>28</v>
      </c>
      <c r="AM1" s="3" t="s">
        <v>92</v>
      </c>
      <c r="AN1" s="2" t="s">
        <v>29</v>
      </c>
      <c r="AO1" s="2" t="s">
        <v>115</v>
      </c>
      <c r="AP1" s="2" t="s">
        <v>30</v>
      </c>
      <c r="AQ1" s="2" t="s">
        <v>25</v>
      </c>
      <c r="AR1" s="2" t="s">
        <v>26</v>
      </c>
      <c r="AS1" s="2" t="s">
        <v>31</v>
      </c>
      <c r="AT1" s="2" t="s">
        <v>39</v>
      </c>
      <c r="AU1" s="2" t="s">
        <v>25</v>
      </c>
      <c r="AV1" s="2" t="s">
        <v>26</v>
      </c>
      <c r="AW1" s="2" t="s">
        <v>33</v>
      </c>
      <c r="AX1" s="2" t="s">
        <v>25</v>
      </c>
      <c r="AY1" s="2" t="s">
        <v>26</v>
      </c>
      <c r="AZ1" s="2" t="s">
        <v>34</v>
      </c>
      <c r="BA1" s="2" t="s">
        <v>25</v>
      </c>
      <c r="BB1" s="2" t="s">
        <v>26</v>
      </c>
      <c r="BC1" s="2" t="s">
        <v>35</v>
      </c>
      <c r="BD1" s="2" t="s">
        <v>25</v>
      </c>
      <c r="BE1" s="2" t="s">
        <v>26</v>
      </c>
      <c r="BF1" s="2" t="s">
        <v>36</v>
      </c>
      <c r="BG1" s="2" t="s">
        <v>25</v>
      </c>
      <c r="BH1" s="2" t="s">
        <v>26</v>
      </c>
      <c r="BI1" s="2" t="s">
        <v>37</v>
      </c>
      <c r="BJ1" s="2" t="s">
        <v>25</v>
      </c>
      <c r="BK1" s="2" t="s">
        <v>26</v>
      </c>
      <c r="BL1" s="2" t="s">
        <v>38</v>
      </c>
      <c r="BM1" s="2" t="s">
        <v>25</v>
      </c>
      <c r="BN1" s="2" t="s">
        <v>26</v>
      </c>
      <c r="BO1" s="2" t="s">
        <v>122</v>
      </c>
      <c r="BP1" s="2" t="s">
        <v>41</v>
      </c>
      <c r="BQ1" s="2" t="s">
        <v>25</v>
      </c>
      <c r="BR1" s="2" t="s">
        <v>26</v>
      </c>
      <c r="BS1" s="2" t="s">
        <v>42</v>
      </c>
      <c r="BT1" s="2" t="s">
        <v>21</v>
      </c>
      <c r="BU1" s="2" t="s">
        <v>25</v>
      </c>
      <c r="BV1" s="2" t="s">
        <v>26</v>
      </c>
      <c r="BW1" s="2" t="s">
        <v>43</v>
      </c>
      <c r="BX1" s="2" t="s">
        <v>22</v>
      </c>
      <c r="BY1" s="2" t="s">
        <v>25</v>
      </c>
      <c r="BZ1" s="2" t="s">
        <v>26</v>
      </c>
      <c r="CA1" s="2" t="s">
        <v>44</v>
      </c>
      <c r="CB1" s="2" t="s">
        <v>23</v>
      </c>
      <c r="CC1" s="2" t="s">
        <v>25</v>
      </c>
      <c r="CD1" s="2" t="s">
        <v>26</v>
      </c>
      <c r="CE1" s="2" t="s">
        <v>71</v>
      </c>
      <c r="CF1" s="2" t="s">
        <v>24</v>
      </c>
      <c r="CG1" s="2" t="s">
        <v>25</v>
      </c>
      <c r="CH1" s="2" t="s">
        <v>26</v>
      </c>
      <c r="CI1" s="4" t="s">
        <v>40</v>
      </c>
      <c r="CJ1" s="2" t="s">
        <v>25</v>
      </c>
      <c r="CK1" s="2" t="s">
        <v>26</v>
      </c>
      <c r="CL1" s="4" t="s">
        <v>45</v>
      </c>
      <c r="CM1" s="2" t="s">
        <v>108</v>
      </c>
      <c r="CN1" s="2" t="s">
        <v>25</v>
      </c>
      <c r="CO1" s="2" t="s">
        <v>26</v>
      </c>
      <c r="CP1" s="4" t="s">
        <v>107</v>
      </c>
      <c r="CQ1" s="2" t="s">
        <v>24</v>
      </c>
      <c r="CR1" s="2" t="s">
        <v>25</v>
      </c>
      <c r="CS1" s="2" t="s">
        <v>26</v>
      </c>
      <c r="CT1" s="4" t="s">
        <v>72</v>
      </c>
      <c r="CU1" s="2" t="s">
        <v>24</v>
      </c>
      <c r="CV1" s="2" t="s">
        <v>25</v>
      </c>
      <c r="CW1" s="2" t="s">
        <v>26</v>
      </c>
      <c r="CX1" s="4" t="s">
        <v>73</v>
      </c>
      <c r="CY1" s="2" t="s">
        <v>24</v>
      </c>
      <c r="CZ1" s="2" t="s">
        <v>25</v>
      </c>
      <c r="DA1" s="2" t="s">
        <v>26</v>
      </c>
      <c r="DB1" s="2" t="s">
        <v>47</v>
      </c>
      <c r="DC1" s="2" t="s">
        <v>25</v>
      </c>
      <c r="DD1" s="2" t="s">
        <v>26</v>
      </c>
      <c r="DE1" s="2" t="s">
        <v>32</v>
      </c>
      <c r="DF1" s="2" t="s">
        <v>46</v>
      </c>
      <c r="DG1" s="2" t="s">
        <v>109</v>
      </c>
      <c r="DH1" s="2" t="s">
        <v>110</v>
      </c>
      <c r="DI1" s="2" t="s">
        <v>111</v>
      </c>
      <c r="DJ1" s="2" t="s">
        <v>91</v>
      </c>
      <c r="DK1" s="2" t="s">
        <v>90</v>
      </c>
      <c r="DL1" s="2" t="s">
        <v>68</v>
      </c>
      <c r="DM1" s="2" t="s">
        <v>70</v>
      </c>
      <c r="DN1" s="2" t="s">
        <v>69</v>
      </c>
      <c r="DO1" s="5" t="s">
        <v>48</v>
      </c>
      <c r="DP1" s="5" t="s">
        <v>81</v>
      </c>
      <c r="DQ1" s="5" t="s">
        <v>49</v>
      </c>
      <c r="DR1" s="5" t="s">
        <v>82</v>
      </c>
      <c r="DS1" s="5" t="s">
        <v>50</v>
      </c>
      <c r="DT1" s="5" t="s">
        <v>51</v>
      </c>
      <c r="DU1" s="5" t="s">
        <v>52</v>
      </c>
      <c r="DV1" s="5" t="s">
        <v>53</v>
      </c>
      <c r="DW1" s="5" t="s">
        <v>54</v>
      </c>
      <c r="DX1" s="5" t="s">
        <v>83</v>
      </c>
      <c r="DY1" s="5" t="s">
        <v>55</v>
      </c>
      <c r="DZ1" s="5" t="s">
        <v>56</v>
      </c>
      <c r="EA1" s="5" t="s">
        <v>57</v>
      </c>
      <c r="EB1" s="5" t="s">
        <v>58</v>
      </c>
      <c r="EC1" s="5" t="s">
        <v>59</v>
      </c>
      <c r="ED1" s="5" t="s">
        <v>60</v>
      </c>
      <c r="EE1" s="5" t="s">
        <v>84</v>
      </c>
      <c r="EF1" s="5" t="s">
        <v>61</v>
      </c>
      <c r="EG1" s="5" t="s">
        <v>62</v>
      </c>
      <c r="EH1" s="5" t="s">
        <v>63</v>
      </c>
      <c r="EI1" s="5" t="s">
        <v>64</v>
      </c>
      <c r="EJ1" s="5" t="s">
        <v>65</v>
      </c>
      <c r="EK1" s="5" t="s">
        <v>66</v>
      </c>
      <c r="EL1" s="5" t="s">
        <v>67</v>
      </c>
      <c r="EM1" s="5" t="s">
        <v>74</v>
      </c>
      <c r="EN1" s="5" t="s">
        <v>75</v>
      </c>
      <c r="EO1" s="5" t="s">
        <v>76</v>
      </c>
      <c r="EP1" s="5" t="s">
        <v>77</v>
      </c>
      <c r="EQ1" s="5" t="s">
        <v>78</v>
      </c>
      <c r="ER1" s="5" t="s">
        <v>79</v>
      </c>
      <c r="ES1" s="5" t="s">
        <v>112</v>
      </c>
      <c r="ET1" s="5" t="s">
        <v>113</v>
      </c>
      <c r="EU1" s="5" t="s">
        <v>114</v>
      </c>
      <c r="EV1" s="5" t="s">
        <v>116</v>
      </c>
      <c r="EW1" s="5" t="s">
        <v>117</v>
      </c>
      <c r="EX1" s="6" t="s">
        <v>97</v>
      </c>
      <c r="EY1" s="6" t="s">
        <v>98</v>
      </c>
      <c r="EZ1" s="6" t="s">
        <v>99</v>
      </c>
      <c r="FA1" s="7" t="s">
        <v>100</v>
      </c>
      <c r="FB1" s="13" t="s">
        <v>101</v>
      </c>
      <c r="FC1" s="8" t="s">
        <v>102</v>
      </c>
      <c r="FD1" s="8" t="s">
        <v>103</v>
      </c>
      <c r="FE1" s="8" t="s">
        <v>104</v>
      </c>
      <c r="FF1" s="8" t="s">
        <v>105</v>
      </c>
      <c r="FG1" s="8" t="s">
        <v>118</v>
      </c>
      <c r="FH1" s="8" t="s">
        <v>106</v>
      </c>
    </row>
    <row r="2" spans="1:164" x14ac:dyDescent="0.25">
      <c r="A2" s="19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>
        <f>AL2+AM2+AN2+AO2+AP2+AS2+AT2+AW2+AZ2+BC2+BF2+BI2+BL2+BO2</f>
        <v>0</v>
      </c>
      <c r="AK2" s="12">
        <f>AI2-AJ2</f>
        <v>0</v>
      </c>
      <c r="AL2" s="12"/>
      <c r="AM2" s="12"/>
      <c r="AN2" s="12"/>
      <c r="AO2" s="12"/>
      <c r="AP2" s="12"/>
      <c r="AQ2" s="12">
        <f>(AL2+AM2+AN2+AO2+AS2+AT2+AW2+BO2)*Y2/100</f>
        <v>0</v>
      </c>
      <c r="AR2" s="12">
        <f t="shared" ref="AR2" si="0">AP2-AQ2</f>
        <v>0</v>
      </c>
      <c r="AS2" s="12"/>
      <c r="AT2" s="12"/>
      <c r="AU2" s="12">
        <f>AL2*Z2/100</f>
        <v>0</v>
      </c>
      <c r="AV2" s="12">
        <f>AT2-AU2</f>
        <v>0</v>
      </c>
      <c r="AW2" s="12"/>
      <c r="AX2" s="12">
        <f>(AL2+AS2)*10%</f>
        <v>0</v>
      </c>
      <c r="AY2" s="12">
        <f>AW2-AX2</f>
        <v>0</v>
      </c>
      <c r="AZ2" s="12"/>
      <c r="BA2" s="12">
        <f>(AL2+AM2+AN2+AO2+AP2+AS2+AT2+AW2+BO2)*20%</f>
        <v>0</v>
      </c>
      <c r="BB2" s="12">
        <f>AZ2-BA2</f>
        <v>0</v>
      </c>
      <c r="BC2" s="12"/>
      <c r="BD2" s="12">
        <f>(AL2+AM2+AN2+AO2+AP2+AS2+AT2+AW2+BO2)*25%</f>
        <v>0</v>
      </c>
      <c r="BE2" s="12">
        <f>BC2-BD2</f>
        <v>0</v>
      </c>
      <c r="BF2" s="12"/>
      <c r="BG2" s="12">
        <f>(AL2+AM2+AN2+AO2+AP2+AS2+AT2+AW2+BO2)*30%</f>
        <v>0</v>
      </c>
      <c r="BH2" s="12">
        <f>BF2-BG2</f>
        <v>0</v>
      </c>
      <c r="BI2" s="12"/>
      <c r="BJ2" s="12">
        <f>(AL2+AM2+AN2+AO2+AP2+AS2+AT2+AW2+BO2)*35%</f>
        <v>0</v>
      </c>
      <c r="BK2" s="12">
        <f>BI2-BJ2</f>
        <v>0</v>
      </c>
      <c r="BL2" s="12"/>
      <c r="BM2" s="12">
        <f>(AL2+AM2+AN2+AO2+AP2+AS2+AT2+AW2+BO2)*40%</f>
        <v>0</v>
      </c>
      <c r="BN2" s="12">
        <f>BL2-BM2</f>
        <v>0</v>
      </c>
      <c r="BO2" s="12"/>
      <c r="BP2" s="12"/>
      <c r="BQ2" s="12">
        <f>(AI2+BS2+BW2+CA2+CE2+CI2+CL2+CP2+CT2+CX2)/30</f>
        <v>0</v>
      </c>
      <c r="BR2" s="12">
        <f>BP2-BQ2</f>
        <v>0</v>
      </c>
      <c r="BS2" s="12"/>
      <c r="BT2" s="12"/>
      <c r="BU2" s="12">
        <f>(((AI2+CI2)+(AI2+CI2)*210/360)/30*1.5*1.5)*BT2</f>
        <v>0</v>
      </c>
      <c r="BV2" s="12">
        <f>BS2-BU2</f>
        <v>0</v>
      </c>
      <c r="BW2" s="12"/>
      <c r="BX2" s="12"/>
      <c r="BY2" s="12">
        <f>(((AI2+CI2)+(AI2+CI2)*210/360)/30*4.5)*BX2</f>
        <v>0</v>
      </c>
      <c r="BZ2" s="12">
        <f>BW2-BY2</f>
        <v>0</v>
      </c>
      <c r="CA2" s="12"/>
      <c r="CB2" s="12"/>
      <c r="CC2" s="12">
        <f>(((AI2+CI2)+(AI2+CI2)*210/360)/30*1.5)*CB2</f>
        <v>0</v>
      </c>
      <c r="CD2" s="12">
        <f t="shared" ref="CD2" si="1">CA2-CC2</f>
        <v>0</v>
      </c>
      <c r="CE2" s="12"/>
      <c r="CF2" s="12"/>
      <c r="CG2" s="12">
        <f>(((AI2+CT2+CX2)+(AI2+CT2+CX2)*210/360)/30*4.5)*CF2</f>
        <v>0</v>
      </c>
      <c r="CH2" s="12">
        <f>CE2-CG2</f>
        <v>0</v>
      </c>
      <c r="CI2" s="12"/>
      <c r="CJ2" s="12">
        <f>AI2*50%</f>
        <v>0</v>
      </c>
      <c r="CK2" s="12">
        <f>CI2-CJ2</f>
        <v>0</v>
      </c>
      <c r="CL2" s="12"/>
      <c r="CM2" s="12"/>
      <c r="CN2" s="12">
        <f>(((AI2)/30)/6)*1.5*12*CM2</f>
        <v>0</v>
      </c>
      <c r="CO2" s="12">
        <f>CL2-CN2</f>
        <v>0</v>
      </c>
      <c r="CP2" s="12"/>
      <c r="CQ2" s="12"/>
      <c r="CR2" s="12">
        <f>(((AI2)/30)/8)*1.5*12*CQ2</f>
        <v>0</v>
      </c>
      <c r="CS2" s="12">
        <f>CP2-CR2</f>
        <v>0</v>
      </c>
      <c r="CT2" s="12"/>
      <c r="CU2" s="12"/>
      <c r="CV2" s="12">
        <f>(((AI2)/30)/6)*1.5*12*CU2</f>
        <v>0</v>
      </c>
      <c r="CW2" s="12">
        <f>CT2-CV2</f>
        <v>0</v>
      </c>
      <c r="CX2" s="12"/>
      <c r="CY2" s="12"/>
      <c r="CZ2" s="12">
        <f>(((AI2)/30)/8)*1.5*12*CY2</f>
        <v>0</v>
      </c>
      <c r="DA2" s="12">
        <f>CX2-CZ2</f>
        <v>0</v>
      </c>
      <c r="DB2" s="12"/>
      <c r="DC2" s="12">
        <f>((AI2+CI2)/30*1.33+(BS2+BW2+CA2+CE2+CL2+CP2+CT2+CX2)/30)*90</f>
        <v>0</v>
      </c>
      <c r="DD2" s="12">
        <f>DB2-DC2</f>
        <v>0</v>
      </c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9">
        <f>+AL2+AM2+AN2+AO2+AP2+AS2+AT2+AW2+AZ2+BC2+BF2+BI2+BL2+BO2</f>
        <v>0</v>
      </c>
      <c r="EY2" s="9">
        <f>+AL2+AM2+AN2+AO2+AP2+AS2+AT2+AW2+AZ2+BC2+BF2+BI2+BL2+BO2+BP2</f>
        <v>0</v>
      </c>
      <c r="EZ2" s="9">
        <f>+DO2+DP2+DQ2+DR2+DS2+DT2+DU2+DV2+DW2+DX2+DY2+DZ2+EA2+EB2+EC2+ED2+EE2+EF2+EG2+EH2+EI2+EJ2+EK2+EL2+EM2+EN2+EO2+EP2+EQ2+ER2+ES2+ET2+EU2+EV2+EW2</f>
        <v>0</v>
      </c>
      <c r="FA2" s="15">
        <f>(EX2/2)-(EZ2/2)</f>
        <v>0</v>
      </c>
      <c r="FB2" s="14">
        <f>(EY2/2)+(BP2/2)-(EZ2/2)</f>
        <v>0</v>
      </c>
      <c r="FC2" s="10">
        <f>+DB2</f>
        <v>0</v>
      </c>
      <c r="FD2" s="10">
        <f>+CI2+CL2+CP2+CT2+CX2</f>
        <v>0</v>
      </c>
      <c r="FE2" s="10">
        <f>+BS2+BW2+CA2+CE2</f>
        <v>0</v>
      </c>
      <c r="FF2" s="10">
        <f>+DE2+DF2</f>
        <v>0</v>
      </c>
      <c r="FG2" s="10">
        <f>+DH2</f>
        <v>0</v>
      </c>
      <c r="FH2" s="10">
        <f>+DI2</f>
        <v>0</v>
      </c>
    </row>
    <row r="3" spans="1:164" x14ac:dyDescent="0.25">
      <c r="B3"/>
      <c r="C3"/>
      <c r="D3"/>
      <c r="E3"/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s="16"/>
      <c r="W3"/>
      <c r="X3"/>
      <c r="Y3"/>
      <c r="Z3"/>
      <c r="AA3"/>
      <c r="AB3"/>
      <c r="AC3"/>
      <c r="AD3"/>
      <c r="AE3"/>
      <c r="AF3"/>
      <c r="AG3"/>
      <c r="AH3"/>
      <c r="AI3"/>
      <c r="AJ3" s="12"/>
      <c r="AK3" s="12"/>
      <c r="AL3" s="17"/>
      <c r="AN3" s="17"/>
      <c r="AP3" s="17"/>
      <c r="AQ3" s="12"/>
      <c r="AR3" s="12"/>
      <c r="AT3" s="17"/>
      <c r="AU3" s="12"/>
      <c r="AV3" s="12"/>
      <c r="AW3" s="17"/>
      <c r="AX3" s="12"/>
      <c r="AY3" s="12"/>
      <c r="BA3" s="12"/>
      <c r="BB3" s="12"/>
      <c r="BC3" s="17"/>
      <c r="BD3" s="12"/>
      <c r="BE3" s="12"/>
      <c r="BG3" s="12"/>
      <c r="BH3" s="12"/>
      <c r="BJ3" s="12"/>
      <c r="BK3" s="12"/>
      <c r="BM3" s="12"/>
      <c r="BN3" s="12"/>
      <c r="BO3" s="17"/>
      <c r="BQ3" s="12"/>
      <c r="BR3" s="12"/>
      <c r="BU3" s="12"/>
      <c r="BV3" s="12"/>
      <c r="BY3" s="12"/>
      <c r="BZ3" s="12"/>
      <c r="CC3" s="12"/>
      <c r="CD3" s="12"/>
      <c r="CE3"/>
      <c r="CG3" s="12"/>
      <c r="CH3" s="12"/>
      <c r="CJ3" s="12"/>
      <c r="CK3" s="12"/>
      <c r="CN3" s="12"/>
      <c r="CO3" s="12"/>
      <c r="CT3"/>
      <c r="CV3" s="12"/>
      <c r="CW3" s="12"/>
      <c r="CZ3" s="12"/>
      <c r="DA3" s="12"/>
      <c r="DC3" s="12"/>
      <c r="DD3" s="12"/>
      <c r="DE3" s="17"/>
      <c r="DF3" s="17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X3" s="9"/>
      <c r="EY3" s="9"/>
      <c r="EZ3" s="9"/>
      <c r="FA3" s="15"/>
      <c r="FB3" s="14"/>
      <c r="FC3" s="10"/>
      <c r="FD3" s="10"/>
      <c r="FE3" s="10"/>
      <c r="FF3" s="10"/>
      <c r="FG3" s="10"/>
      <c r="FH3" s="10"/>
    </row>
    <row r="4" spans="1:164" x14ac:dyDescent="0.25">
      <c r="B4"/>
      <c r="C4"/>
      <c r="D4"/>
      <c r="E4"/>
      <c r="F4" s="16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s="16"/>
      <c r="W4"/>
      <c r="X4"/>
      <c r="Y4"/>
      <c r="Z4"/>
      <c r="AA4"/>
      <c r="AB4"/>
      <c r="AC4"/>
      <c r="AD4"/>
      <c r="AE4"/>
      <c r="AF4"/>
      <c r="AG4"/>
      <c r="AH4"/>
      <c r="AI4"/>
      <c r="AJ4" s="12"/>
      <c r="AK4" s="12"/>
      <c r="AL4" s="17"/>
      <c r="AN4" s="17"/>
      <c r="AP4" s="17"/>
      <c r="AQ4" s="12"/>
      <c r="AR4" s="12"/>
      <c r="AT4" s="17"/>
      <c r="AU4" s="12"/>
      <c r="AV4" s="12"/>
      <c r="AW4" s="17"/>
      <c r="AX4" s="12"/>
      <c r="AY4" s="12"/>
      <c r="BA4" s="12"/>
      <c r="BB4" s="12"/>
      <c r="BD4" s="12"/>
      <c r="BE4" s="12"/>
      <c r="BG4" s="12"/>
      <c r="BH4" s="12"/>
      <c r="BJ4" s="12"/>
      <c r="BK4" s="12"/>
      <c r="BM4" s="12"/>
      <c r="BN4" s="12"/>
      <c r="BO4" s="17"/>
      <c r="BQ4" s="12"/>
      <c r="BR4" s="12"/>
      <c r="BU4" s="12"/>
      <c r="BV4" s="12"/>
      <c r="BY4" s="12"/>
      <c r="BZ4" s="12"/>
      <c r="CC4" s="12"/>
      <c r="CD4" s="12"/>
      <c r="CE4"/>
      <c r="CG4" s="12"/>
      <c r="CH4" s="12"/>
      <c r="CJ4" s="12"/>
      <c r="CK4" s="12"/>
      <c r="CN4" s="12"/>
      <c r="CO4" s="12"/>
      <c r="CT4"/>
      <c r="CV4" s="12"/>
      <c r="CW4" s="12"/>
      <c r="CZ4" s="12"/>
      <c r="DA4" s="12"/>
      <c r="DC4" s="12"/>
      <c r="DD4" s="12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X4" s="9"/>
      <c r="EY4" s="9"/>
      <c r="EZ4" s="9"/>
      <c r="FA4" s="15"/>
      <c r="FB4" s="14"/>
      <c r="FC4" s="10"/>
      <c r="FD4" s="10"/>
      <c r="FE4" s="10"/>
      <c r="FF4" s="10"/>
      <c r="FG4" s="10"/>
      <c r="FH4" s="10"/>
    </row>
    <row r="5" spans="1:164" x14ac:dyDescent="0.25">
      <c r="B5"/>
      <c r="C5"/>
      <c r="D5"/>
      <c r="E5"/>
      <c r="F5" s="16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s="16"/>
      <c r="W5"/>
      <c r="X5"/>
      <c r="Y5"/>
      <c r="Z5"/>
      <c r="AA5"/>
      <c r="AB5"/>
      <c r="AC5"/>
      <c r="AD5"/>
      <c r="AE5"/>
      <c r="AF5"/>
      <c r="AG5"/>
      <c r="AH5"/>
      <c r="AI5"/>
      <c r="AJ5" s="12"/>
      <c r="AK5" s="12"/>
      <c r="AL5" s="17"/>
      <c r="AN5" s="17"/>
      <c r="AP5" s="17"/>
      <c r="AQ5" s="12"/>
      <c r="AR5" s="12"/>
      <c r="AT5" s="17"/>
      <c r="AU5" s="12"/>
      <c r="AV5" s="12"/>
      <c r="AW5" s="17"/>
      <c r="AX5" s="12"/>
      <c r="AY5" s="12"/>
      <c r="BA5" s="12"/>
      <c r="BB5" s="12"/>
      <c r="BD5" s="12"/>
      <c r="BE5" s="12"/>
      <c r="BG5" s="12"/>
      <c r="BH5" s="12"/>
      <c r="BJ5" s="12"/>
      <c r="BK5" s="12"/>
      <c r="BM5" s="12"/>
      <c r="BN5" s="12"/>
      <c r="BO5" s="17"/>
      <c r="BQ5" s="12"/>
      <c r="BR5" s="12"/>
      <c r="BU5" s="12"/>
      <c r="BV5" s="12"/>
      <c r="BY5" s="12"/>
      <c r="BZ5" s="12"/>
      <c r="CC5" s="12"/>
      <c r="CD5" s="12"/>
      <c r="CE5"/>
      <c r="CG5" s="12"/>
      <c r="CH5" s="12"/>
      <c r="CJ5" s="12"/>
      <c r="CK5" s="12"/>
      <c r="CN5" s="12"/>
      <c r="CO5" s="12"/>
      <c r="CT5"/>
      <c r="CV5" s="12"/>
      <c r="CW5" s="12"/>
      <c r="CZ5" s="12"/>
      <c r="DA5" s="12"/>
      <c r="DC5" s="12"/>
      <c r="DD5" s="12"/>
      <c r="DF5" s="17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X5" s="9"/>
      <c r="EY5" s="9"/>
      <c r="EZ5" s="9"/>
      <c r="FA5" s="15"/>
      <c r="FB5" s="14"/>
      <c r="FC5" s="10"/>
      <c r="FD5" s="10"/>
      <c r="FE5" s="10"/>
      <c r="FF5" s="10"/>
      <c r="FG5" s="10"/>
      <c r="FH5" s="10"/>
    </row>
    <row r="6" spans="1:164" x14ac:dyDescent="0.25">
      <c r="B6"/>
      <c r="C6"/>
      <c r="D6"/>
      <c r="E6"/>
      <c r="F6" s="1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16"/>
      <c r="W6"/>
      <c r="X6"/>
      <c r="Y6"/>
      <c r="Z6"/>
      <c r="AA6"/>
      <c r="AB6"/>
      <c r="AC6"/>
      <c r="AD6"/>
      <c r="AE6"/>
      <c r="AF6"/>
      <c r="AG6"/>
      <c r="AH6"/>
      <c r="AI6"/>
      <c r="AJ6" s="12"/>
      <c r="AK6" s="12"/>
      <c r="AL6" s="17"/>
      <c r="AN6" s="17"/>
      <c r="AP6" s="17"/>
      <c r="AQ6" s="12"/>
      <c r="AR6" s="12"/>
      <c r="AT6" s="17"/>
      <c r="AU6" s="12"/>
      <c r="AV6" s="12"/>
      <c r="AW6" s="17"/>
      <c r="AX6" s="12"/>
      <c r="AY6" s="12"/>
      <c r="BA6" s="12"/>
      <c r="BB6" s="12"/>
      <c r="BD6" s="12"/>
      <c r="BE6" s="12"/>
      <c r="BG6" s="12"/>
      <c r="BH6" s="12"/>
      <c r="BJ6" s="12"/>
      <c r="BK6" s="12"/>
      <c r="BM6" s="12"/>
      <c r="BN6" s="12"/>
      <c r="BO6" s="17"/>
      <c r="BQ6" s="12"/>
      <c r="BR6" s="12"/>
      <c r="BU6" s="12"/>
      <c r="BV6" s="12"/>
      <c r="BY6" s="12"/>
      <c r="BZ6" s="12"/>
      <c r="CC6" s="12"/>
      <c r="CD6" s="12"/>
      <c r="CE6"/>
      <c r="CG6" s="12"/>
      <c r="CH6" s="12"/>
      <c r="CJ6" s="12"/>
      <c r="CK6" s="12"/>
      <c r="CN6" s="12"/>
      <c r="CO6" s="12"/>
      <c r="CT6"/>
      <c r="CV6" s="12"/>
      <c r="CW6" s="12"/>
      <c r="CZ6" s="12"/>
      <c r="DA6" s="12"/>
      <c r="DC6" s="12"/>
      <c r="DD6" s="12"/>
      <c r="DE6" s="17"/>
      <c r="DF6" s="17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X6" s="9"/>
      <c r="EY6" s="9"/>
      <c r="EZ6" s="9"/>
      <c r="FA6" s="15"/>
      <c r="FB6" s="14"/>
      <c r="FC6" s="10"/>
      <c r="FD6" s="10"/>
      <c r="FE6" s="10"/>
      <c r="FF6" s="10"/>
      <c r="FG6" s="10"/>
      <c r="FH6" s="10"/>
    </row>
    <row r="7" spans="1:164" x14ac:dyDescent="0.25">
      <c r="B7"/>
      <c r="C7"/>
      <c r="D7"/>
      <c r="E7"/>
      <c r="F7" s="16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s="16"/>
      <c r="W7"/>
      <c r="X7"/>
      <c r="Y7"/>
      <c r="Z7"/>
      <c r="AA7"/>
      <c r="AB7"/>
      <c r="AC7"/>
      <c r="AD7"/>
      <c r="AE7"/>
      <c r="AF7"/>
      <c r="AG7"/>
      <c r="AH7"/>
      <c r="AI7"/>
      <c r="AJ7" s="12"/>
      <c r="AK7" s="12"/>
      <c r="AL7" s="17"/>
      <c r="AN7" s="17"/>
      <c r="AP7" s="17"/>
      <c r="AQ7" s="12"/>
      <c r="AR7" s="12"/>
      <c r="AT7" s="17"/>
      <c r="AU7" s="12"/>
      <c r="AV7" s="12"/>
      <c r="AW7" s="17"/>
      <c r="AX7" s="12"/>
      <c r="AY7" s="12"/>
      <c r="AZ7" s="17"/>
      <c r="BA7" s="12"/>
      <c r="BB7" s="12"/>
      <c r="BD7" s="12"/>
      <c r="BE7" s="12"/>
      <c r="BG7" s="12"/>
      <c r="BH7" s="12"/>
      <c r="BJ7" s="12"/>
      <c r="BK7" s="12"/>
      <c r="BM7" s="12"/>
      <c r="BN7" s="12"/>
      <c r="BO7" s="17"/>
      <c r="BQ7" s="12"/>
      <c r="BR7" s="12"/>
      <c r="BU7" s="12"/>
      <c r="BV7" s="12"/>
      <c r="BY7" s="12"/>
      <c r="BZ7" s="12"/>
      <c r="CA7" s="17"/>
      <c r="CB7" s="17"/>
      <c r="CC7" s="12"/>
      <c r="CD7" s="12"/>
      <c r="CE7"/>
      <c r="CG7" s="12"/>
      <c r="CH7" s="12"/>
      <c r="CJ7" s="12"/>
      <c r="CK7" s="12"/>
      <c r="CN7" s="12"/>
      <c r="CO7" s="12"/>
      <c r="CT7"/>
      <c r="CV7" s="12"/>
      <c r="CW7" s="12"/>
      <c r="CZ7" s="12"/>
      <c r="DA7" s="12"/>
      <c r="DB7" s="17"/>
      <c r="DC7" s="12"/>
      <c r="DD7" s="12"/>
      <c r="DE7" s="17"/>
      <c r="DF7" s="1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X7" s="9"/>
      <c r="EY7" s="9"/>
      <c r="EZ7" s="9"/>
      <c r="FA7" s="15"/>
      <c r="FB7" s="14"/>
      <c r="FC7" s="10"/>
      <c r="FD7" s="10"/>
      <c r="FE7" s="10"/>
      <c r="FF7" s="10"/>
      <c r="FG7" s="10"/>
      <c r="FH7" s="10"/>
    </row>
    <row r="8" spans="1:164" x14ac:dyDescent="0.25">
      <c r="B8"/>
      <c r="C8"/>
      <c r="D8"/>
      <c r="E8"/>
      <c r="F8" s="16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s="16"/>
      <c r="W8"/>
      <c r="X8"/>
      <c r="Y8"/>
      <c r="Z8"/>
      <c r="AA8"/>
      <c r="AB8"/>
      <c r="AC8"/>
      <c r="AD8"/>
      <c r="AE8"/>
      <c r="AF8"/>
      <c r="AG8"/>
      <c r="AH8"/>
      <c r="AI8"/>
      <c r="AJ8" s="12"/>
      <c r="AK8" s="12"/>
      <c r="AL8" s="17"/>
      <c r="AN8" s="17"/>
      <c r="AP8" s="17"/>
      <c r="AQ8" s="12"/>
      <c r="AR8" s="12"/>
      <c r="AT8" s="17"/>
      <c r="AU8" s="12"/>
      <c r="AV8" s="12"/>
      <c r="AW8" s="17"/>
      <c r="AX8" s="12"/>
      <c r="AY8" s="12"/>
      <c r="AZ8" s="17"/>
      <c r="BA8" s="12"/>
      <c r="BB8" s="12"/>
      <c r="BD8" s="12"/>
      <c r="BE8" s="12"/>
      <c r="BG8" s="12"/>
      <c r="BH8" s="12"/>
      <c r="BJ8" s="12"/>
      <c r="BK8" s="12"/>
      <c r="BM8" s="12"/>
      <c r="BN8" s="12"/>
      <c r="BO8" s="17"/>
      <c r="BQ8" s="12"/>
      <c r="BR8" s="12"/>
      <c r="BU8" s="12"/>
      <c r="BV8" s="12"/>
      <c r="BY8" s="12"/>
      <c r="BZ8" s="12"/>
      <c r="CA8" s="17"/>
      <c r="CB8" s="17"/>
      <c r="CC8" s="12"/>
      <c r="CD8" s="12"/>
      <c r="CE8"/>
      <c r="CG8" s="12"/>
      <c r="CH8" s="12"/>
      <c r="CJ8" s="12"/>
      <c r="CK8" s="12"/>
      <c r="CN8" s="12"/>
      <c r="CO8" s="12"/>
      <c r="CT8"/>
      <c r="CV8" s="12"/>
      <c r="CW8" s="12"/>
      <c r="CZ8" s="12"/>
      <c r="DA8" s="12"/>
      <c r="DC8" s="12"/>
      <c r="DD8" s="12"/>
      <c r="DF8" s="17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X8" s="9"/>
      <c r="EY8" s="9"/>
      <c r="EZ8" s="9"/>
      <c r="FA8" s="15"/>
      <c r="FB8" s="14"/>
      <c r="FC8" s="10"/>
      <c r="FD8" s="10"/>
      <c r="FE8" s="10"/>
      <c r="FF8" s="10"/>
      <c r="FG8" s="10"/>
      <c r="FH8" s="10"/>
    </row>
    <row r="9" spans="1:164" x14ac:dyDescent="0.25">
      <c r="B9"/>
      <c r="C9"/>
      <c r="D9"/>
      <c r="E9"/>
      <c r="F9" s="16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s="16"/>
      <c r="W9"/>
      <c r="X9"/>
      <c r="Y9"/>
      <c r="Z9"/>
      <c r="AA9"/>
      <c r="AB9"/>
      <c r="AC9"/>
      <c r="AD9"/>
      <c r="AE9"/>
      <c r="AF9"/>
      <c r="AG9"/>
      <c r="AH9"/>
      <c r="AI9"/>
      <c r="AJ9" s="12"/>
      <c r="AK9" s="12"/>
      <c r="AL9" s="17"/>
      <c r="AN9" s="17"/>
      <c r="AP9" s="17"/>
      <c r="AQ9" s="12"/>
      <c r="AR9" s="12"/>
      <c r="AT9" s="17"/>
      <c r="AU9" s="12"/>
      <c r="AV9" s="12"/>
      <c r="AW9" s="17"/>
      <c r="AX9" s="12"/>
      <c r="AY9" s="12"/>
      <c r="BA9" s="12"/>
      <c r="BB9" s="12"/>
      <c r="BC9" s="17"/>
      <c r="BD9" s="12"/>
      <c r="BE9" s="12"/>
      <c r="BG9" s="12"/>
      <c r="BH9" s="12"/>
      <c r="BJ9" s="12"/>
      <c r="BK9" s="12"/>
      <c r="BM9" s="12"/>
      <c r="BN9" s="12"/>
      <c r="BO9" s="17"/>
      <c r="BQ9" s="12"/>
      <c r="BR9" s="12"/>
      <c r="BU9" s="12"/>
      <c r="BV9" s="12"/>
      <c r="BY9" s="12"/>
      <c r="BZ9" s="12"/>
      <c r="CA9" s="17"/>
      <c r="CB9" s="17"/>
      <c r="CC9" s="12"/>
      <c r="CD9" s="12"/>
      <c r="CE9"/>
      <c r="CG9" s="12"/>
      <c r="CH9" s="12"/>
      <c r="CJ9" s="12"/>
      <c r="CK9" s="12"/>
      <c r="CN9" s="12"/>
      <c r="CO9" s="12"/>
      <c r="CT9"/>
      <c r="CV9" s="12"/>
      <c r="CW9" s="12"/>
      <c r="CZ9" s="12"/>
      <c r="DA9" s="12"/>
      <c r="DB9" s="17"/>
      <c r="DC9" s="12"/>
      <c r="DD9" s="12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X9" s="9"/>
      <c r="EY9" s="9"/>
      <c r="EZ9" s="9"/>
      <c r="FA9" s="15"/>
      <c r="FB9" s="14"/>
      <c r="FC9" s="10"/>
      <c r="FD9" s="10"/>
      <c r="FE9" s="10"/>
      <c r="FF9" s="10"/>
      <c r="FG9" s="10"/>
      <c r="FH9" s="10"/>
    </row>
    <row r="10" spans="1:164" x14ac:dyDescent="0.25">
      <c r="B10"/>
      <c r="C10"/>
      <c r="D10"/>
      <c r="E10"/>
      <c r="F10" s="16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s="16"/>
      <c r="W10"/>
      <c r="X10"/>
      <c r="Y10"/>
      <c r="Z10"/>
      <c r="AA10"/>
      <c r="AB10"/>
      <c r="AC10"/>
      <c r="AD10"/>
      <c r="AE10"/>
      <c r="AF10"/>
      <c r="AG10"/>
      <c r="AH10"/>
      <c r="AI10"/>
      <c r="AJ10" s="12"/>
      <c r="AK10" s="12"/>
      <c r="AL10" s="17"/>
      <c r="AN10" s="17"/>
      <c r="AP10" s="17"/>
      <c r="AQ10" s="12"/>
      <c r="AR10" s="12"/>
      <c r="AT10" s="17"/>
      <c r="AU10" s="12"/>
      <c r="AV10" s="12"/>
      <c r="AW10" s="17"/>
      <c r="AX10" s="12"/>
      <c r="AY10" s="12"/>
      <c r="BA10" s="12"/>
      <c r="BB10" s="12"/>
      <c r="BC10" s="17"/>
      <c r="BD10" s="12"/>
      <c r="BE10" s="12"/>
      <c r="BG10" s="12"/>
      <c r="BH10" s="12"/>
      <c r="BJ10" s="12"/>
      <c r="BK10" s="12"/>
      <c r="BM10" s="12"/>
      <c r="BN10" s="12"/>
      <c r="BO10" s="17"/>
      <c r="BQ10" s="12"/>
      <c r="BR10" s="12"/>
      <c r="BU10" s="12"/>
      <c r="BV10" s="12"/>
      <c r="BY10" s="12"/>
      <c r="BZ10" s="12"/>
      <c r="CA10" s="17"/>
      <c r="CB10" s="17"/>
      <c r="CC10" s="12"/>
      <c r="CD10" s="12"/>
      <c r="CE10"/>
      <c r="CG10" s="12"/>
      <c r="CH10" s="12"/>
      <c r="CJ10" s="12"/>
      <c r="CK10" s="12"/>
      <c r="CN10" s="12"/>
      <c r="CO10" s="12"/>
      <c r="CT10"/>
      <c r="CV10" s="12"/>
      <c r="CW10" s="12"/>
      <c r="CZ10" s="12"/>
      <c r="DA10" s="12"/>
      <c r="DC10" s="12"/>
      <c r="DD10" s="12"/>
      <c r="DF10" s="17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X10" s="9"/>
      <c r="EY10" s="9"/>
      <c r="EZ10" s="9"/>
      <c r="FA10" s="15"/>
      <c r="FB10" s="14"/>
      <c r="FC10" s="10"/>
      <c r="FD10" s="10"/>
      <c r="FE10" s="10"/>
      <c r="FF10" s="10"/>
      <c r="FG10" s="10"/>
      <c r="FH10" s="10"/>
    </row>
    <row r="11" spans="1:164" x14ac:dyDescent="0.25">
      <c r="B11"/>
      <c r="C11"/>
      <c r="D11"/>
      <c r="E11"/>
      <c r="F11" s="16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s="16"/>
      <c r="W11"/>
      <c r="X11"/>
      <c r="Y11"/>
      <c r="Z11"/>
      <c r="AA11"/>
      <c r="AB11"/>
      <c r="AC11"/>
      <c r="AD11"/>
      <c r="AE11"/>
      <c r="AF11"/>
      <c r="AG11"/>
      <c r="AH11"/>
      <c r="AI11"/>
      <c r="AJ11" s="12"/>
      <c r="AK11" s="12"/>
      <c r="AL11" s="17"/>
      <c r="AQ11" s="12"/>
      <c r="AR11" s="12"/>
      <c r="AU11" s="12"/>
      <c r="AV11" s="12"/>
      <c r="AW11" s="17"/>
      <c r="AX11" s="12"/>
      <c r="AY11" s="12"/>
      <c r="BA11" s="12"/>
      <c r="BB11" s="12"/>
      <c r="BC11" s="17"/>
      <c r="BD11" s="12"/>
      <c r="BE11" s="12"/>
      <c r="BG11" s="12"/>
      <c r="BH11" s="12"/>
      <c r="BJ11" s="12"/>
      <c r="BK11" s="12"/>
      <c r="BM11" s="12"/>
      <c r="BN11" s="12"/>
      <c r="BQ11" s="12"/>
      <c r="BR11" s="12"/>
      <c r="BU11" s="12"/>
      <c r="BV11" s="12"/>
      <c r="BY11" s="12"/>
      <c r="BZ11" s="12"/>
      <c r="CC11" s="12"/>
      <c r="CD11" s="12"/>
      <c r="CE11"/>
      <c r="CG11" s="12"/>
      <c r="CH11" s="12"/>
      <c r="CJ11" s="12"/>
      <c r="CK11" s="12"/>
      <c r="CN11" s="12"/>
      <c r="CO11" s="12"/>
      <c r="CT11"/>
      <c r="CV11" s="12"/>
      <c r="CW11" s="12"/>
      <c r="CZ11" s="12"/>
      <c r="DA11" s="12"/>
      <c r="DC11" s="12"/>
      <c r="DD11" s="12"/>
      <c r="DF11" s="17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X11" s="9"/>
      <c r="EY11" s="9"/>
      <c r="EZ11" s="9"/>
      <c r="FA11" s="15"/>
      <c r="FB11" s="14"/>
      <c r="FC11" s="10"/>
      <c r="FD11" s="10"/>
      <c r="FE11" s="10"/>
      <c r="FF11" s="10"/>
      <c r="FG11" s="10"/>
      <c r="FH11" s="10"/>
    </row>
    <row r="12" spans="1:164" x14ac:dyDescent="0.25">
      <c r="B12"/>
      <c r="C12"/>
      <c r="D12"/>
      <c r="E12"/>
      <c r="F12" s="16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s="16"/>
      <c r="W12"/>
      <c r="X12"/>
      <c r="Y12"/>
      <c r="Z12"/>
      <c r="AA12"/>
      <c r="AB12"/>
      <c r="AC12"/>
      <c r="AD12"/>
      <c r="AE12"/>
      <c r="AF12"/>
      <c r="AG12"/>
      <c r="AH12"/>
      <c r="AI12"/>
      <c r="AJ12" s="12"/>
      <c r="AK12" s="12"/>
      <c r="AL12" s="17"/>
      <c r="AQ12" s="12"/>
      <c r="AR12" s="12"/>
      <c r="AU12" s="12"/>
      <c r="AV12" s="12"/>
      <c r="AW12" s="17"/>
      <c r="AX12" s="12"/>
      <c r="AY12" s="12"/>
      <c r="AZ12" s="17"/>
      <c r="BA12" s="12"/>
      <c r="BB12" s="12"/>
      <c r="BD12" s="12"/>
      <c r="BE12" s="12"/>
      <c r="BG12" s="12"/>
      <c r="BH12" s="12"/>
      <c r="BJ12" s="12"/>
      <c r="BK12" s="12"/>
      <c r="BM12" s="12"/>
      <c r="BN12" s="12"/>
      <c r="BQ12" s="12"/>
      <c r="BR12" s="12"/>
      <c r="BU12" s="12"/>
      <c r="BV12" s="12"/>
      <c r="BY12" s="12"/>
      <c r="BZ12" s="12"/>
      <c r="CC12" s="12"/>
      <c r="CD12" s="12"/>
      <c r="CE12"/>
      <c r="CG12" s="12"/>
      <c r="CH12" s="12"/>
      <c r="CJ12" s="12"/>
      <c r="CK12" s="12"/>
      <c r="CN12" s="12"/>
      <c r="CO12" s="12"/>
      <c r="CT12"/>
      <c r="CV12" s="12"/>
      <c r="CW12" s="12"/>
      <c r="CZ12" s="12"/>
      <c r="DA12" s="12"/>
      <c r="DC12" s="12"/>
      <c r="DD12" s="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X12" s="9"/>
      <c r="EY12" s="9"/>
      <c r="EZ12" s="9"/>
      <c r="FA12" s="15"/>
      <c r="FB12" s="14"/>
      <c r="FC12" s="10"/>
      <c r="FD12" s="10"/>
      <c r="FE12" s="10"/>
      <c r="FF12" s="10"/>
      <c r="FG12" s="10"/>
      <c r="FH12" s="10"/>
    </row>
    <row r="13" spans="1:164" x14ac:dyDescent="0.25">
      <c r="B13"/>
      <c r="C13"/>
      <c r="D13"/>
      <c r="E13"/>
      <c r="F13" s="16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s="16"/>
      <c r="W13"/>
      <c r="X13"/>
      <c r="Y13"/>
      <c r="Z13"/>
      <c r="AA13"/>
      <c r="AB13"/>
      <c r="AC13"/>
      <c r="AD13"/>
      <c r="AE13"/>
      <c r="AF13"/>
      <c r="AG13"/>
      <c r="AH13"/>
      <c r="AI13"/>
      <c r="AJ13" s="12"/>
      <c r="AK13" s="12"/>
      <c r="AL13" s="17"/>
      <c r="AN13" s="17"/>
      <c r="AP13" s="17"/>
      <c r="AQ13" s="12"/>
      <c r="AR13" s="12"/>
      <c r="AT13" s="17"/>
      <c r="AU13" s="12"/>
      <c r="AV13" s="12"/>
      <c r="AW13" s="17"/>
      <c r="AX13" s="12"/>
      <c r="AY13" s="12"/>
      <c r="BA13" s="12"/>
      <c r="BB13" s="12"/>
      <c r="BC13" s="17"/>
      <c r="BD13" s="12"/>
      <c r="BE13" s="12"/>
      <c r="BG13" s="12"/>
      <c r="BH13" s="12"/>
      <c r="BJ13" s="12"/>
      <c r="BK13" s="12"/>
      <c r="BM13" s="12"/>
      <c r="BN13" s="12"/>
      <c r="BO13" s="17"/>
      <c r="BQ13" s="12"/>
      <c r="BR13" s="12"/>
      <c r="BU13" s="12"/>
      <c r="BV13" s="12"/>
      <c r="BY13" s="12"/>
      <c r="BZ13" s="12"/>
      <c r="CC13" s="12"/>
      <c r="CD13" s="12"/>
      <c r="CE13"/>
      <c r="CG13" s="12"/>
      <c r="CH13" s="12"/>
      <c r="CJ13" s="12"/>
      <c r="CK13" s="12"/>
      <c r="CN13" s="12"/>
      <c r="CO13" s="12"/>
      <c r="CT13"/>
      <c r="CV13" s="12"/>
      <c r="CW13" s="12"/>
      <c r="CZ13" s="12"/>
      <c r="DA13" s="12"/>
      <c r="DC13" s="12"/>
      <c r="DD13" s="12"/>
      <c r="DF13" s="17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X13" s="9"/>
      <c r="EY13" s="9"/>
      <c r="EZ13" s="9"/>
      <c r="FA13" s="15"/>
      <c r="FB13" s="14"/>
      <c r="FC13" s="10"/>
      <c r="FD13" s="10"/>
      <c r="FE13" s="10"/>
      <c r="FF13" s="10"/>
      <c r="FG13" s="10"/>
      <c r="FH13" s="10"/>
    </row>
    <row r="14" spans="1:164" x14ac:dyDescent="0.25">
      <c r="B14"/>
      <c r="C14"/>
      <c r="D14"/>
      <c r="E14"/>
      <c r="F14" s="16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s="16"/>
      <c r="W14"/>
      <c r="X14"/>
      <c r="Y14"/>
      <c r="Z14"/>
      <c r="AA14"/>
      <c r="AB14"/>
      <c r="AC14"/>
      <c r="AD14"/>
      <c r="AE14"/>
      <c r="AF14"/>
      <c r="AG14"/>
      <c r="AH14"/>
      <c r="AI14"/>
      <c r="AJ14" s="12"/>
      <c r="AK14" s="12"/>
      <c r="AL14" s="17"/>
      <c r="AQ14" s="12"/>
      <c r="AR14" s="12"/>
      <c r="AU14" s="12"/>
      <c r="AV14" s="12"/>
      <c r="AW14" s="17"/>
      <c r="AX14" s="12"/>
      <c r="AY14" s="12"/>
      <c r="BA14" s="12"/>
      <c r="BB14" s="12"/>
      <c r="BC14" s="17"/>
      <c r="BD14" s="12"/>
      <c r="BE14" s="12"/>
      <c r="BG14" s="12"/>
      <c r="BH14" s="12"/>
      <c r="BJ14" s="12"/>
      <c r="BK14" s="12"/>
      <c r="BM14" s="12"/>
      <c r="BN14" s="12"/>
      <c r="BQ14" s="12"/>
      <c r="BR14" s="12"/>
      <c r="BU14" s="12"/>
      <c r="BV14" s="12"/>
      <c r="BY14" s="12"/>
      <c r="BZ14" s="12"/>
      <c r="CC14" s="12"/>
      <c r="CD14" s="12"/>
      <c r="CE14"/>
      <c r="CG14" s="12"/>
      <c r="CH14" s="12"/>
      <c r="CJ14" s="12"/>
      <c r="CK14" s="12"/>
      <c r="CN14" s="12"/>
      <c r="CO14" s="12"/>
      <c r="CT14"/>
      <c r="CV14" s="12"/>
      <c r="CW14" s="12"/>
      <c r="CZ14" s="12"/>
      <c r="DA14" s="12"/>
      <c r="DC14" s="12"/>
      <c r="DD14" s="12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X14" s="9"/>
      <c r="EY14" s="9"/>
      <c r="EZ14" s="9"/>
      <c r="FA14" s="15"/>
      <c r="FB14" s="14"/>
      <c r="FC14" s="10"/>
      <c r="FD14" s="10"/>
      <c r="FE14" s="10"/>
      <c r="FF14" s="10"/>
      <c r="FG14" s="10"/>
      <c r="FH14" s="10"/>
    </row>
    <row r="15" spans="1:164" x14ac:dyDescent="0.25">
      <c r="B15"/>
      <c r="C15"/>
      <c r="D15"/>
      <c r="E15"/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s="16"/>
      <c r="W15"/>
      <c r="X15"/>
      <c r="Y15"/>
      <c r="Z15"/>
      <c r="AA15"/>
      <c r="AB15"/>
      <c r="AC15"/>
      <c r="AD15"/>
      <c r="AE15"/>
      <c r="AF15"/>
      <c r="AG15"/>
      <c r="AH15"/>
      <c r="AI15"/>
      <c r="AJ15" s="12"/>
      <c r="AK15" s="12"/>
      <c r="AL15" s="17"/>
      <c r="AQ15" s="12"/>
      <c r="AR15" s="12"/>
      <c r="AU15" s="12"/>
      <c r="AV15" s="12"/>
      <c r="AW15" s="17"/>
      <c r="AX15" s="12"/>
      <c r="AY15" s="12"/>
      <c r="AZ15" s="17"/>
      <c r="BA15" s="12"/>
      <c r="BB15" s="12"/>
      <c r="BD15" s="12"/>
      <c r="BE15" s="12"/>
      <c r="BG15" s="12"/>
      <c r="BH15" s="12"/>
      <c r="BJ15" s="12"/>
      <c r="BK15" s="12"/>
      <c r="BM15" s="12"/>
      <c r="BN15" s="12"/>
      <c r="BQ15" s="12"/>
      <c r="BR15" s="12"/>
      <c r="BU15" s="12"/>
      <c r="BV15" s="12"/>
      <c r="BY15" s="12"/>
      <c r="BZ15" s="12"/>
      <c r="CC15" s="12"/>
      <c r="CD15" s="12"/>
      <c r="CE15"/>
      <c r="CG15" s="12"/>
      <c r="CH15" s="12"/>
      <c r="CJ15" s="12"/>
      <c r="CK15" s="12"/>
      <c r="CN15" s="12"/>
      <c r="CO15" s="12"/>
      <c r="CT15"/>
      <c r="CV15" s="12"/>
      <c r="CW15" s="12"/>
      <c r="CZ15" s="12"/>
      <c r="DA15" s="12"/>
      <c r="DC15" s="12"/>
      <c r="DD15" s="12"/>
      <c r="DF15" s="17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X15" s="9"/>
      <c r="EY15" s="9"/>
      <c r="EZ15" s="9"/>
      <c r="FA15" s="15"/>
      <c r="FB15" s="14"/>
      <c r="FC15" s="10"/>
      <c r="FD15" s="10"/>
      <c r="FE15" s="10"/>
      <c r="FF15" s="10"/>
      <c r="FG15" s="10"/>
      <c r="FH15" s="10"/>
    </row>
    <row r="16" spans="1:164" x14ac:dyDescent="0.25">
      <c r="B16"/>
      <c r="C16"/>
      <c r="D16"/>
      <c r="E16"/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s="16"/>
      <c r="W16"/>
      <c r="X16"/>
      <c r="Y16"/>
      <c r="Z16"/>
      <c r="AA16"/>
      <c r="AB16"/>
      <c r="AC16"/>
      <c r="AD16"/>
      <c r="AE16"/>
      <c r="AF16"/>
      <c r="AG16"/>
      <c r="AH16"/>
      <c r="AI16"/>
      <c r="AJ16" s="12"/>
      <c r="AK16" s="12"/>
      <c r="AL16" s="17"/>
      <c r="AN16" s="17"/>
      <c r="AP16" s="17"/>
      <c r="AQ16" s="12"/>
      <c r="AR16" s="12"/>
      <c r="AT16" s="17"/>
      <c r="AU16" s="12"/>
      <c r="AV16" s="12"/>
      <c r="AW16" s="17"/>
      <c r="AX16" s="12"/>
      <c r="AY16" s="12"/>
      <c r="BA16" s="12"/>
      <c r="BB16" s="12"/>
      <c r="BC16" s="17"/>
      <c r="BD16" s="12"/>
      <c r="BE16" s="12"/>
      <c r="BG16" s="12"/>
      <c r="BH16" s="12"/>
      <c r="BJ16" s="12"/>
      <c r="BK16" s="12"/>
      <c r="BM16" s="12"/>
      <c r="BN16" s="12"/>
      <c r="BO16" s="17"/>
      <c r="BQ16" s="12"/>
      <c r="BR16" s="12"/>
      <c r="BU16" s="12"/>
      <c r="BV16" s="12"/>
      <c r="BY16" s="12"/>
      <c r="BZ16" s="12"/>
      <c r="CC16" s="12"/>
      <c r="CD16" s="12"/>
      <c r="CE16"/>
      <c r="CG16" s="12"/>
      <c r="CH16" s="12"/>
      <c r="CJ16" s="12"/>
      <c r="CK16" s="12"/>
      <c r="CN16" s="12"/>
      <c r="CO16" s="12"/>
      <c r="CT16"/>
      <c r="CV16" s="12"/>
      <c r="CW16" s="12"/>
      <c r="CZ16" s="12"/>
      <c r="DA16" s="12"/>
      <c r="DC16" s="12"/>
      <c r="DD16" s="12"/>
      <c r="DF16" s="17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X16" s="9"/>
      <c r="EY16" s="9"/>
      <c r="EZ16" s="9"/>
      <c r="FA16" s="15"/>
      <c r="FB16" s="14"/>
      <c r="FC16" s="10"/>
      <c r="FD16" s="10"/>
      <c r="FE16" s="10"/>
      <c r="FF16" s="10"/>
      <c r="FG16" s="10"/>
      <c r="FH16" s="10"/>
    </row>
    <row r="17" spans="2:164" x14ac:dyDescent="0.25">
      <c r="B17"/>
      <c r="C17"/>
      <c r="D17"/>
      <c r="E17"/>
      <c r="F17" s="16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s="16"/>
      <c r="W17"/>
      <c r="X17"/>
      <c r="Y17"/>
      <c r="Z17"/>
      <c r="AA17"/>
      <c r="AB17"/>
      <c r="AC17"/>
      <c r="AD17"/>
      <c r="AE17"/>
      <c r="AF17"/>
      <c r="AG17"/>
      <c r="AH17"/>
      <c r="AI17"/>
      <c r="AJ17" s="12"/>
      <c r="AK17" s="12"/>
      <c r="AL17" s="17"/>
      <c r="AN17" s="17"/>
      <c r="AP17" s="17"/>
      <c r="AQ17" s="12"/>
      <c r="AR17" s="12"/>
      <c r="AT17" s="17"/>
      <c r="AU17" s="12"/>
      <c r="AV17" s="12"/>
      <c r="AW17" s="17"/>
      <c r="AX17" s="12"/>
      <c r="AY17" s="12"/>
      <c r="BA17" s="12"/>
      <c r="BB17" s="12"/>
      <c r="BC17" s="17"/>
      <c r="BD17" s="12"/>
      <c r="BE17" s="12"/>
      <c r="BG17" s="12"/>
      <c r="BH17" s="12"/>
      <c r="BJ17" s="12"/>
      <c r="BK17" s="12"/>
      <c r="BM17" s="12"/>
      <c r="BN17" s="12"/>
      <c r="BO17" s="17"/>
      <c r="BQ17" s="12"/>
      <c r="BR17" s="12"/>
      <c r="BU17" s="12"/>
      <c r="BV17" s="12"/>
      <c r="BY17" s="12"/>
      <c r="BZ17" s="12"/>
      <c r="CC17" s="12"/>
      <c r="CD17" s="12"/>
      <c r="CE17"/>
      <c r="CG17" s="12"/>
      <c r="CH17" s="12"/>
      <c r="CJ17" s="12"/>
      <c r="CK17" s="12"/>
      <c r="CN17" s="12"/>
      <c r="CO17" s="12"/>
      <c r="CT17"/>
      <c r="CV17" s="12"/>
      <c r="CW17" s="12"/>
      <c r="CZ17" s="12"/>
      <c r="DA17" s="12"/>
      <c r="DC17" s="12"/>
      <c r="DD17" s="12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X17" s="9"/>
      <c r="EY17" s="9"/>
      <c r="EZ17" s="9"/>
      <c r="FA17" s="15"/>
      <c r="FB17" s="14"/>
      <c r="FC17" s="10"/>
      <c r="FD17" s="10"/>
      <c r="FE17" s="10"/>
      <c r="FF17" s="10"/>
      <c r="FG17" s="10"/>
      <c r="FH17" s="10"/>
    </row>
    <row r="18" spans="2:164" x14ac:dyDescent="0.25">
      <c r="B18"/>
      <c r="C18"/>
      <c r="D18"/>
      <c r="E18"/>
      <c r="F18" s="16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s="16"/>
      <c r="W18"/>
      <c r="X18"/>
      <c r="Y18"/>
      <c r="Z18"/>
      <c r="AA18"/>
      <c r="AB18"/>
      <c r="AC18"/>
      <c r="AD18"/>
      <c r="AE18"/>
      <c r="AF18"/>
      <c r="AG18"/>
      <c r="AH18"/>
      <c r="AI18"/>
      <c r="AJ18" s="12"/>
      <c r="AK18" s="12"/>
      <c r="AL18" s="17"/>
      <c r="AQ18" s="12"/>
      <c r="AR18" s="12"/>
      <c r="AU18" s="12"/>
      <c r="AV18" s="12"/>
      <c r="AW18" s="17"/>
      <c r="AX18" s="12"/>
      <c r="AY18" s="12"/>
      <c r="BA18" s="12"/>
      <c r="BB18" s="12"/>
      <c r="BC18" s="17"/>
      <c r="BD18" s="12"/>
      <c r="BE18" s="12"/>
      <c r="BG18" s="12"/>
      <c r="BH18" s="12"/>
      <c r="BJ18" s="12"/>
      <c r="BK18" s="12"/>
      <c r="BM18" s="12"/>
      <c r="BN18" s="12"/>
      <c r="BQ18" s="12"/>
      <c r="BR18" s="20"/>
      <c r="BU18" s="12"/>
      <c r="BV18" s="12"/>
      <c r="BY18" s="12"/>
      <c r="BZ18" s="12"/>
      <c r="CC18" s="12"/>
      <c r="CD18" s="12"/>
      <c r="CE18"/>
      <c r="CG18" s="12"/>
      <c r="CH18" s="12"/>
      <c r="CJ18" s="12"/>
      <c r="CK18" s="12"/>
      <c r="CN18" s="12"/>
      <c r="CO18" s="12"/>
      <c r="CT18"/>
      <c r="CV18" s="12"/>
      <c r="CW18" s="12"/>
      <c r="CZ18" s="12"/>
      <c r="DA18" s="12"/>
      <c r="DC18" s="12"/>
      <c r="DD18" s="12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X18" s="9"/>
      <c r="EY18" s="9"/>
      <c r="EZ18" s="9"/>
      <c r="FA18" s="15"/>
      <c r="FB18" s="14"/>
      <c r="FC18" s="10"/>
      <c r="FD18" s="10"/>
      <c r="FE18" s="10"/>
      <c r="FF18" s="10"/>
      <c r="FG18" s="10"/>
      <c r="FH18" s="10"/>
    </row>
    <row r="19" spans="2:164" x14ac:dyDescent="0.25">
      <c r="B19"/>
      <c r="C19"/>
      <c r="D19"/>
      <c r="E19"/>
      <c r="F19" s="16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s="16"/>
      <c r="W19"/>
      <c r="X19"/>
      <c r="Y19"/>
      <c r="Z19"/>
      <c r="AA19"/>
      <c r="AB19"/>
      <c r="AC19"/>
      <c r="AD19"/>
      <c r="AE19"/>
      <c r="AF19"/>
      <c r="AG19"/>
      <c r="AH19"/>
      <c r="AI19"/>
      <c r="AJ19" s="12"/>
      <c r="AK19" s="12"/>
      <c r="AL19" s="17"/>
      <c r="AQ19" s="12"/>
      <c r="AR19" s="12"/>
      <c r="AU19" s="12"/>
      <c r="AV19" s="12"/>
      <c r="AW19" s="17"/>
      <c r="AX19" s="12"/>
      <c r="AY19" s="12"/>
      <c r="BA19" s="12"/>
      <c r="BB19" s="12"/>
      <c r="BC19" s="17"/>
      <c r="BD19" s="12"/>
      <c r="BE19" s="12"/>
      <c r="BG19" s="12"/>
      <c r="BH19" s="12"/>
      <c r="BJ19" s="12"/>
      <c r="BK19" s="12"/>
      <c r="BM19" s="12"/>
      <c r="BN19" s="12"/>
      <c r="BQ19" s="12"/>
      <c r="BR19" s="12"/>
      <c r="BU19" s="12"/>
      <c r="BV19" s="12"/>
      <c r="BY19" s="12"/>
      <c r="BZ19" s="12"/>
      <c r="CC19" s="12"/>
      <c r="CD19" s="12"/>
      <c r="CE19"/>
      <c r="CG19" s="12"/>
      <c r="CH19" s="12"/>
      <c r="CJ19" s="12"/>
      <c r="CK19" s="12"/>
      <c r="CN19" s="12"/>
      <c r="CO19" s="12"/>
      <c r="CT19"/>
      <c r="CV19" s="12"/>
      <c r="CW19" s="12"/>
      <c r="CZ19" s="12"/>
      <c r="DA19" s="12"/>
      <c r="DC19" s="12"/>
      <c r="DD19" s="12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X19" s="9"/>
      <c r="EY19" s="9"/>
      <c r="EZ19" s="9"/>
      <c r="FA19" s="15"/>
      <c r="FB19" s="14"/>
      <c r="FC19" s="10"/>
      <c r="FD19" s="10"/>
      <c r="FE19" s="10"/>
      <c r="FF19" s="10"/>
      <c r="FG19" s="10"/>
      <c r="FH19" s="10"/>
    </row>
    <row r="20" spans="2:164" x14ac:dyDescent="0.25">
      <c r="B20"/>
      <c r="C20"/>
      <c r="D20"/>
      <c r="E20"/>
      <c r="F20" s="16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s="16"/>
      <c r="W20"/>
      <c r="X20"/>
      <c r="Y20"/>
      <c r="Z20"/>
      <c r="AA20"/>
      <c r="AB20"/>
      <c r="AC20"/>
      <c r="AD20"/>
      <c r="AE20"/>
      <c r="AF20"/>
      <c r="AG20"/>
      <c r="AH20"/>
      <c r="AI20"/>
      <c r="AJ20" s="12"/>
      <c r="AK20" s="12"/>
      <c r="AL20" s="17"/>
      <c r="AQ20" s="12"/>
      <c r="AR20" s="12"/>
      <c r="AU20" s="12"/>
      <c r="AV20" s="12"/>
      <c r="AW20" s="17"/>
      <c r="AX20" s="12"/>
      <c r="AY20" s="12"/>
      <c r="AZ20" s="17"/>
      <c r="BA20" s="12"/>
      <c r="BB20" s="12"/>
      <c r="BD20" s="12"/>
      <c r="BE20" s="12"/>
      <c r="BG20" s="12"/>
      <c r="BH20" s="12"/>
      <c r="BJ20" s="12"/>
      <c r="BK20" s="12"/>
      <c r="BM20" s="12"/>
      <c r="BN20" s="12"/>
      <c r="BQ20" s="12"/>
      <c r="BR20" s="12"/>
      <c r="BU20" s="12"/>
      <c r="BV20" s="12"/>
      <c r="BY20" s="12"/>
      <c r="BZ20" s="12"/>
      <c r="CC20" s="12"/>
      <c r="CD20" s="12"/>
      <c r="CE20"/>
      <c r="CG20" s="12"/>
      <c r="CH20" s="12"/>
      <c r="CJ20" s="12"/>
      <c r="CK20" s="12"/>
      <c r="CN20" s="12"/>
      <c r="CO20" s="12"/>
      <c r="CT20"/>
      <c r="CV20" s="12"/>
      <c r="CW20" s="12"/>
      <c r="CZ20" s="12"/>
      <c r="DA20" s="12"/>
      <c r="DC20" s="12"/>
      <c r="DD20" s="12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X20" s="9"/>
      <c r="EY20" s="9"/>
      <c r="EZ20" s="9"/>
      <c r="FA20" s="15"/>
      <c r="FB20" s="14"/>
      <c r="FC20" s="10"/>
      <c r="FD20" s="10"/>
      <c r="FE20" s="10"/>
      <c r="FF20" s="10"/>
      <c r="FG20" s="10"/>
      <c r="FH20" s="10"/>
    </row>
    <row r="21" spans="2:164" x14ac:dyDescent="0.25">
      <c r="B21"/>
      <c r="C21"/>
      <c r="D21"/>
      <c r="E21"/>
      <c r="F21" s="16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s="16"/>
      <c r="W21"/>
      <c r="X21"/>
      <c r="Y21"/>
      <c r="Z21"/>
      <c r="AA21"/>
      <c r="AB21"/>
      <c r="AC21"/>
      <c r="AD21"/>
      <c r="AE21"/>
      <c r="AF21"/>
      <c r="AG21"/>
      <c r="AH21"/>
      <c r="AI21"/>
      <c r="AJ21" s="12"/>
      <c r="AK21" s="12"/>
      <c r="AL21" s="17"/>
      <c r="AQ21" s="12"/>
      <c r="AR21" s="12"/>
      <c r="AU21" s="12"/>
      <c r="AV21" s="12"/>
      <c r="AW21" s="17"/>
      <c r="AX21" s="12"/>
      <c r="AY21" s="12"/>
      <c r="BA21" s="12"/>
      <c r="BB21" s="12"/>
      <c r="BC21" s="17"/>
      <c r="BD21" s="12"/>
      <c r="BE21" s="12"/>
      <c r="BG21" s="12"/>
      <c r="BH21" s="12"/>
      <c r="BJ21" s="12"/>
      <c r="BK21" s="12"/>
      <c r="BM21" s="12"/>
      <c r="BN21" s="12"/>
      <c r="BQ21" s="12"/>
      <c r="BR21" s="12"/>
      <c r="BU21" s="12"/>
      <c r="BV21" s="12"/>
      <c r="BY21" s="12"/>
      <c r="BZ21" s="12"/>
      <c r="CC21" s="12"/>
      <c r="CD21" s="12"/>
      <c r="CE21"/>
      <c r="CG21" s="12"/>
      <c r="CH21" s="12"/>
      <c r="CJ21" s="12"/>
      <c r="CK21" s="12"/>
      <c r="CN21" s="12"/>
      <c r="CO21" s="12"/>
      <c r="CT21"/>
      <c r="CV21" s="12"/>
      <c r="CW21" s="12"/>
      <c r="CZ21" s="12"/>
      <c r="DA21" s="12"/>
      <c r="DC21" s="12"/>
      <c r="DD21" s="12"/>
      <c r="DF21" s="17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X21" s="9"/>
      <c r="EY21" s="9"/>
      <c r="EZ21" s="9"/>
      <c r="FA21" s="15"/>
      <c r="FB21" s="14"/>
      <c r="FC21" s="10"/>
      <c r="FD21" s="10"/>
      <c r="FE21" s="10"/>
      <c r="FF21" s="10"/>
      <c r="FG21" s="10"/>
      <c r="FH21" s="10"/>
    </row>
    <row r="22" spans="2:164" x14ac:dyDescent="0.25">
      <c r="B22"/>
      <c r="C22"/>
      <c r="D22"/>
      <c r="E22"/>
      <c r="F22" s="16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s="16"/>
      <c r="W22"/>
      <c r="X22"/>
      <c r="Y22"/>
      <c r="Z22"/>
      <c r="AA22"/>
      <c r="AB22"/>
      <c r="AC22"/>
      <c r="AD22"/>
      <c r="AE22"/>
      <c r="AF22"/>
      <c r="AG22"/>
      <c r="AH22"/>
      <c r="AI22"/>
      <c r="AJ22" s="12"/>
      <c r="AK22" s="12"/>
      <c r="AL22" s="17"/>
      <c r="AQ22" s="12"/>
      <c r="AR22" s="12"/>
      <c r="AU22" s="12"/>
      <c r="AV22" s="12"/>
      <c r="AW22" s="17"/>
      <c r="AX22" s="12"/>
      <c r="AY22" s="12"/>
      <c r="BA22" s="12"/>
      <c r="BB22" s="12"/>
      <c r="BC22" s="17"/>
      <c r="BD22" s="12"/>
      <c r="BE22" s="12"/>
      <c r="BG22" s="12"/>
      <c r="BH22" s="12"/>
      <c r="BJ22" s="12"/>
      <c r="BK22" s="12"/>
      <c r="BM22" s="12"/>
      <c r="BN22" s="12"/>
      <c r="BQ22" s="12"/>
      <c r="BR22" s="12"/>
      <c r="BU22" s="12"/>
      <c r="BV22" s="12"/>
      <c r="BY22" s="12"/>
      <c r="BZ22" s="12"/>
      <c r="CC22" s="12"/>
      <c r="CD22" s="12"/>
      <c r="CE22"/>
      <c r="CG22" s="12"/>
      <c r="CH22" s="12"/>
      <c r="CJ22" s="12"/>
      <c r="CK22" s="12"/>
      <c r="CN22" s="12"/>
      <c r="CO22" s="12"/>
      <c r="CT22"/>
      <c r="CV22" s="12"/>
      <c r="CW22" s="12"/>
      <c r="CZ22" s="12"/>
      <c r="DA22" s="12"/>
      <c r="DC22" s="12"/>
      <c r="DD22" s="1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X22" s="9"/>
      <c r="EY22" s="9"/>
      <c r="EZ22" s="9"/>
      <c r="FA22" s="15"/>
      <c r="FB22" s="14"/>
      <c r="FC22" s="10"/>
      <c r="FD22" s="10"/>
      <c r="FE22" s="10"/>
      <c r="FF22" s="10"/>
      <c r="FG22" s="10"/>
      <c r="FH22" s="10"/>
    </row>
    <row r="23" spans="2:164" x14ac:dyDescent="0.25">
      <c r="B23"/>
      <c r="C23"/>
      <c r="D23"/>
      <c r="E23"/>
      <c r="F23" s="16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s="16"/>
      <c r="W23"/>
      <c r="X23"/>
      <c r="Y23"/>
      <c r="Z23"/>
      <c r="AA23"/>
      <c r="AB23"/>
      <c r="AC23"/>
      <c r="AD23"/>
      <c r="AE23"/>
      <c r="AF23"/>
      <c r="AG23"/>
      <c r="AH23"/>
      <c r="AI23"/>
      <c r="AJ23" s="12"/>
      <c r="AK23" s="12"/>
      <c r="AL23" s="17"/>
      <c r="AP23" s="17"/>
      <c r="AQ23" s="12"/>
      <c r="AR23" s="12"/>
      <c r="AT23" s="17"/>
      <c r="AU23" s="12"/>
      <c r="AV23" s="12"/>
      <c r="AW23" s="17"/>
      <c r="AX23" s="12"/>
      <c r="AY23" s="12"/>
      <c r="BA23" s="12"/>
      <c r="BB23" s="12"/>
      <c r="BC23" s="17"/>
      <c r="BD23" s="12"/>
      <c r="BE23" s="12"/>
      <c r="BG23" s="12"/>
      <c r="BH23" s="12"/>
      <c r="BJ23" s="12"/>
      <c r="BK23" s="12"/>
      <c r="BM23" s="12"/>
      <c r="BN23" s="12"/>
      <c r="BQ23" s="12"/>
      <c r="BR23" s="12"/>
      <c r="BU23" s="12"/>
      <c r="BV23" s="12"/>
      <c r="BY23" s="12"/>
      <c r="BZ23" s="12"/>
      <c r="CC23" s="12"/>
      <c r="CD23" s="12"/>
      <c r="CE23"/>
      <c r="CG23" s="12"/>
      <c r="CH23" s="12"/>
      <c r="CJ23" s="12"/>
      <c r="CK23" s="12"/>
      <c r="CN23" s="12"/>
      <c r="CO23" s="12"/>
      <c r="CT23"/>
      <c r="CV23" s="12"/>
      <c r="CW23" s="12"/>
      <c r="CX23" s="17"/>
      <c r="CZ23" s="12"/>
      <c r="DA23" s="12"/>
      <c r="DC23" s="12"/>
      <c r="DD23" s="12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X23" s="9"/>
      <c r="EY23" s="9"/>
      <c r="EZ23" s="9"/>
      <c r="FA23" s="15"/>
      <c r="FB23" s="14"/>
      <c r="FC23" s="10"/>
      <c r="FD23" s="10"/>
      <c r="FE23" s="10"/>
      <c r="FF23" s="10"/>
      <c r="FG23" s="10"/>
      <c r="FH23" s="10"/>
    </row>
    <row r="24" spans="2:164" x14ac:dyDescent="0.25">
      <c r="B24"/>
      <c r="C24"/>
      <c r="D24"/>
      <c r="E24"/>
      <c r="F24" s="16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s="16"/>
      <c r="W24"/>
      <c r="X24"/>
      <c r="Y24"/>
      <c r="Z24"/>
      <c r="AA24"/>
      <c r="AB24"/>
      <c r="AC24"/>
      <c r="AD24"/>
      <c r="AE24"/>
      <c r="AF24"/>
      <c r="AG24"/>
      <c r="AH24"/>
      <c r="AI24"/>
      <c r="AJ24" s="12"/>
      <c r="AK24" s="12"/>
      <c r="AL24" s="17"/>
      <c r="AQ24" s="12"/>
      <c r="AR24" s="12"/>
      <c r="AU24" s="12"/>
      <c r="AV24" s="12"/>
      <c r="AW24" s="17"/>
      <c r="AX24" s="12"/>
      <c r="AY24" s="12"/>
      <c r="BA24" s="12"/>
      <c r="BB24" s="12"/>
      <c r="BD24" s="12"/>
      <c r="BE24" s="12"/>
      <c r="BF24" s="17"/>
      <c r="BG24" s="12"/>
      <c r="BH24" s="12"/>
      <c r="BJ24" s="12"/>
      <c r="BK24" s="12"/>
      <c r="BM24" s="12"/>
      <c r="BN24" s="12"/>
      <c r="BQ24" s="12"/>
      <c r="BR24" s="12"/>
      <c r="BU24" s="12"/>
      <c r="BV24" s="12"/>
      <c r="BY24" s="12"/>
      <c r="BZ24" s="12"/>
      <c r="CC24" s="12"/>
      <c r="CD24" s="12"/>
      <c r="CE24"/>
      <c r="CG24" s="12"/>
      <c r="CH24" s="12"/>
      <c r="CJ24" s="12"/>
      <c r="CK24" s="12"/>
      <c r="CN24" s="12"/>
      <c r="CO24" s="12"/>
      <c r="CT24"/>
      <c r="CV24" s="12"/>
      <c r="CW24" s="12"/>
      <c r="CZ24" s="12"/>
      <c r="DA24" s="12"/>
      <c r="DC24" s="12"/>
      <c r="DD24" s="12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X24" s="9"/>
      <c r="EY24" s="9"/>
      <c r="EZ24" s="9"/>
      <c r="FA24" s="15"/>
      <c r="FB24" s="14"/>
      <c r="FC24" s="10"/>
      <c r="FD24" s="10"/>
      <c r="FE24" s="10"/>
      <c r="FF24" s="10"/>
      <c r="FG24" s="10"/>
      <c r="FH24" s="10"/>
    </row>
    <row r="25" spans="2:164" x14ac:dyDescent="0.25">
      <c r="B25"/>
      <c r="C25"/>
      <c r="D25"/>
      <c r="E25"/>
      <c r="F25" s="16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s="16"/>
      <c r="W25"/>
      <c r="X25"/>
      <c r="Y25"/>
      <c r="Z25"/>
      <c r="AA25"/>
      <c r="AB25"/>
      <c r="AC25"/>
      <c r="AD25"/>
      <c r="AE25"/>
      <c r="AF25"/>
      <c r="AG25"/>
      <c r="AH25"/>
      <c r="AI25"/>
      <c r="AJ25" s="12"/>
      <c r="AK25" s="12"/>
      <c r="AL25" s="17"/>
      <c r="AP25" s="17"/>
      <c r="AQ25" s="12"/>
      <c r="AR25" s="12"/>
      <c r="AT25" s="17"/>
      <c r="AU25" s="12"/>
      <c r="AV25" s="12"/>
      <c r="AW25" s="17"/>
      <c r="AX25" s="12"/>
      <c r="AY25" s="12"/>
      <c r="BA25" s="12"/>
      <c r="BB25" s="12"/>
      <c r="BC25" s="17"/>
      <c r="BD25" s="12"/>
      <c r="BE25" s="12"/>
      <c r="BG25" s="12"/>
      <c r="BH25" s="12"/>
      <c r="BJ25" s="12"/>
      <c r="BK25" s="12"/>
      <c r="BM25" s="12"/>
      <c r="BN25" s="12"/>
      <c r="BQ25" s="12"/>
      <c r="BR25" s="12"/>
      <c r="BU25" s="12"/>
      <c r="BV25" s="12"/>
      <c r="BY25" s="12"/>
      <c r="BZ25" s="12"/>
      <c r="CC25" s="12"/>
      <c r="CD25" s="12"/>
      <c r="CE25"/>
      <c r="CG25" s="12"/>
      <c r="CH25" s="12"/>
      <c r="CJ25" s="12"/>
      <c r="CK25" s="12"/>
      <c r="CN25" s="12"/>
      <c r="CO25" s="12"/>
      <c r="CT25"/>
      <c r="CV25" s="12"/>
      <c r="CW25" s="12"/>
      <c r="CX25" s="17"/>
      <c r="CZ25" s="12"/>
      <c r="DA25" s="12"/>
      <c r="DC25" s="12"/>
      <c r="DD25" s="12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X25" s="9"/>
      <c r="EY25" s="9"/>
      <c r="EZ25" s="9"/>
      <c r="FA25" s="15"/>
      <c r="FB25" s="14"/>
      <c r="FC25" s="10"/>
      <c r="FD25" s="10"/>
      <c r="FE25" s="10"/>
      <c r="FF25" s="10"/>
      <c r="FG25" s="10"/>
      <c r="FH25" s="10"/>
    </row>
    <row r="26" spans="2:164" x14ac:dyDescent="0.25">
      <c r="B26"/>
      <c r="C26"/>
      <c r="D26"/>
      <c r="E26"/>
      <c r="F26" s="1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s="16"/>
      <c r="W26"/>
      <c r="X26"/>
      <c r="Y26"/>
      <c r="Z26"/>
      <c r="AA26"/>
      <c r="AB26"/>
      <c r="AC26"/>
      <c r="AD26"/>
      <c r="AE26"/>
      <c r="AF26"/>
      <c r="AG26"/>
      <c r="AH26"/>
      <c r="AI26"/>
      <c r="AJ26" s="12"/>
      <c r="AK26" s="12"/>
      <c r="AL26" s="17"/>
      <c r="AP26" s="17"/>
      <c r="AQ26" s="12"/>
      <c r="AR26" s="12"/>
      <c r="AT26" s="17"/>
      <c r="AU26" s="12"/>
      <c r="AV26" s="12"/>
      <c r="AW26" s="17"/>
      <c r="AX26" s="12"/>
      <c r="AY26" s="12"/>
      <c r="BA26" s="12"/>
      <c r="BB26" s="12"/>
      <c r="BC26" s="17"/>
      <c r="BD26" s="12"/>
      <c r="BE26" s="12"/>
      <c r="BG26" s="12"/>
      <c r="BH26" s="12"/>
      <c r="BJ26" s="12"/>
      <c r="BK26" s="12"/>
      <c r="BM26" s="12"/>
      <c r="BN26" s="12"/>
      <c r="BO26" s="17"/>
      <c r="BQ26" s="12"/>
      <c r="BR26" s="12"/>
      <c r="BU26" s="12"/>
      <c r="BV26" s="12"/>
      <c r="BY26" s="12"/>
      <c r="BZ26" s="12"/>
      <c r="CC26" s="12"/>
      <c r="CD26" s="12"/>
      <c r="CE26"/>
      <c r="CG26" s="12"/>
      <c r="CH26" s="12"/>
      <c r="CJ26" s="12"/>
      <c r="CK26" s="12"/>
      <c r="CN26" s="12"/>
      <c r="CO26" s="12"/>
      <c r="CT26"/>
      <c r="CV26" s="12"/>
      <c r="CW26" s="12"/>
      <c r="CX26" s="17"/>
      <c r="CZ26" s="12"/>
      <c r="DA26" s="12"/>
      <c r="DC26" s="12"/>
      <c r="DD26" s="12"/>
      <c r="DF26" s="17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X26" s="9"/>
      <c r="EY26" s="9"/>
      <c r="EZ26" s="9"/>
      <c r="FA26" s="15"/>
      <c r="FB26" s="14"/>
      <c r="FC26" s="10"/>
      <c r="FD26" s="10"/>
      <c r="FE26" s="10"/>
      <c r="FF26" s="10"/>
      <c r="FG26" s="10"/>
      <c r="FH26" s="10"/>
    </row>
    <row r="27" spans="2:164" x14ac:dyDescent="0.25">
      <c r="B27"/>
      <c r="C27"/>
      <c r="D27"/>
      <c r="E27"/>
      <c r="F27" s="16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s="16"/>
      <c r="W27"/>
      <c r="X27"/>
      <c r="Y27"/>
      <c r="Z27"/>
      <c r="AA27"/>
      <c r="AB27"/>
      <c r="AC27"/>
      <c r="AD27"/>
      <c r="AE27"/>
      <c r="AF27"/>
      <c r="AG27"/>
      <c r="AH27"/>
      <c r="AI27"/>
      <c r="AJ27" s="12"/>
      <c r="AK27" s="12"/>
      <c r="AL27" s="17"/>
      <c r="AP27" s="17"/>
      <c r="AQ27" s="12"/>
      <c r="AR27" s="12"/>
      <c r="AT27" s="17"/>
      <c r="AU27" s="12"/>
      <c r="AV27" s="12"/>
      <c r="AW27" s="17"/>
      <c r="AX27" s="12"/>
      <c r="AY27" s="12"/>
      <c r="BA27" s="12"/>
      <c r="BB27" s="12"/>
      <c r="BC27" s="17"/>
      <c r="BD27" s="12"/>
      <c r="BE27" s="12"/>
      <c r="BG27" s="12"/>
      <c r="BH27" s="12"/>
      <c r="BJ27" s="12"/>
      <c r="BK27" s="12"/>
      <c r="BM27" s="12"/>
      <c r="BN27" s="12"/>
      <c r="BO27" s="17"/>
      <c r="BQ27" s="12"/>
      <c r="BR27" s="12"/>
      <c r="BU27" s="12"/>
      <c r="BV27" s="12"/>
      <c r="BY27" s="12"/>
      <c r="BZ27" s="12"/>
      <c r="CC27" s="12"/>
      <c r="CD27" s="12"/>
      <c r="CE27"/>
      <c r="CG27" s="12"/>
      <c r="CH27" s="12"/>
      <c r="CJ27" s="12"/>
      <c r="CK27" s="12"/>
      <c r="CN27" s="12"/>
      <c r="CO27" s="12"/>
      <c r="CT27"/>
      <c r="CV27" s="12"/>
      <c r="CW27" s="12"/>
      <c r="CZ27" s="12"/>
      <c r="DA27" s="12"/>
      <c r="DB27" s="17"/>
      <c r="DC27" s="12"/>
      <c r="DD27" s="12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X27" s="9"/>
      <c r="EY27" s="9"/>
      <c r="EZ27" s="9"/>
      <c r="FA27" s="15"/>
      <c r="FB27" s="14"/>
      <c r="FC27" s="10"/>
      <c r="FD27" s="10"/>
      <c r="FE27" s="10"/>
      <c r="FF27" s="10"/>
      <c r="FG27" s="10"/>
      <c r="FH27" s="10"/>
    </row>
    <row r="28" spans="2:164" x14ac:dyDescent="0.25">
      <c r="B28"/>
      <c r="C28"/>
      <c r="D28"/>
      <c r="E28"/>
      <c r="F28" s="16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s="16"/>
      <c r="W28"/>
      <c r="X28"/>
      <c r="Y28"/>
      <c r="Z28"/>
      <c r="AA28"/>
      <c r="AB28"/>
      <c r="AC28"/>
      <c r="AD28"/>
      <c r="AE28"/>
      <c r="AF28"/>
      <c r="AG28"/>
      <c r="AH28"/>
      <c r="AI28"/>
      <c r="AJ28" s="12"/>
      <c r="AK28" s="12"/>
      <c r="AL28" s="17"/>
      <c r="AQ28" s="12"/>
      <c r="AR28" s="12"/>
      <c r="AU28" s="12"/>
      <c r="AV28" s="12"/>
      <c r="AW28" s="17"/>
      <c r="AX28" s="12"/>
      <c r="AY28" s="12"/>
      <c r="BA28" s="12"/>
      <c r="BB28" s="12"/>
      <c r="BD28" s="12"/>
      <c r="BE28" s="12"/>
      <c r="BF28" s="17"/>
      <c r="BG28" s="12"/>
      <c r="BH28" s="12"/>
      <c r="BJ28" s="12"/>
      <c r="BK28" s="12"/>
      <c r="BM28" s="12"/>
      <c r="BN28" s="12"/>
      <c r="BQ28" s="12"/>
      <c r="BR28" s="12"/>
      <c r="BU28" s="12"/>
      <c r="BV28" s="12"/>
      <c r="BY28" s="12"/>
      <c r="BZ28" s="12"/>
      <c r="CC28" s="12"/>
      <c r="CD28" s="12"/>
      <c r="CE28"/>
      <c r="CG28" s="12"/>
      <c r="CH28" s="12"/>
      <c r="CJ28" s="12"/>
      <c r="CK28" s="12"/>
      <c r="CN28" s="12"/>
      <c r="CO28" s="12"/>
      <c r="CT28"/>
      <c r="CV28" s="12"/>
      <c r="CW28" s="12"/>
      <c r="CZ28" s="12"/>
      <c r="DA28" s="12"/>
      <c r="DB28" s="17"/>
      <c r="DC28" s="12"/>
      <c r="DD28" s="12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X28" s="9"/>
      <c r="EY28" s="9"/>
      <c r="EZ28" s="9"/>
      <c r="FA28" s="15"/>
      <c r="FB28" s="14"/>
      <c r="FC28" s="10"/>
      <c r="FD28" s="10"/>
      <c r="FE28" s="10"/>
      <c r="FF28" s="10"/>
      <c r="FG28" s="10"/>
      <c r="FH28" s="10"/>
    </row>
    <row r="29" spans="2:164" x14ac:dyDescent="0.25">
      <c r="B29"/>
      <c r="C29"/>
      <c r="D29"/>
      <c r="E29"/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16"/>
      <c r="W29"/>
      <c r="X29"/>
      <c r="Y29"/>
      <c r="Z29"/>
      <c r="AA29"/>
      <c r="AB29"/>
      <c r="AC29"/>
      <c r="AD29"/>
      <c r="AE29"/>
      <c r="AF29"/>
      <c r="AG29"/>
      <c r="AH29"/>
      <c r="AI29"/>
      <c r="AJ29" s="12"/>
      <c r="AK29" s="12"/>
      <c r="AL29" s="17"/>
      <c r="AP29" s="17"/>
      <c r="AQ29" s="12"/>
      <c r="AR29" s="12"/>
      <c r="AT29" s="17"/>
      <c r="AU29" s="12"/>
      <c r="AV29" s="12"/>
      <c r="AW29" s="17"/>
      <c r="AX29" s="12"/>
      <c r="AY29" s="12"/>
      <c r="BA29" s="12"/>
      <c r="BB29" s="12"/>
      <c r="BC29" s="17"/>
      <c r="BD29" s="12"/>
      <c r="BE29" s="12"/>
      <c r="BG29" s="12"/>
      <c r="BH29" s="12"/>
      <c r="BJ29" s="12"/>
      <c r="BK29" s="12"/>
      <c r="BM29" s="12"/>
      <c r="BN29" s="12"/>
      <c r="BO29" s="17"/>
      <c r="BQ29" s="12"/>
      <c r="BR29" s="12"/>
      <c r="BU29" s="12"/>
      <c r="BV29" s="12"/>
      <c r="BY29" s="12"/>
      <c r="BZ29" s="12"/>
      <c r="CC29" s="12"/>
      <c r="CD29" s="12"/>
      <c r="CE29"/>
      <c r="CG29" s="12"/>
      <c r="CH29" s="12"/>
      <c r="CJ29" s="12"/>
      <c r="CK29" s="12"/>
      <c r="CN29" s="12"/>
      <c r="CO29" s="12"/>
      <c r="CT29"/>
      <c r="CV29" s="12"/>
      <c r="CW29" s="12"/>
      <c r="CX29" s="17"/>
      <c r="CZ29" s="12"/>
      <c r="DA29" s="12"/>
      <c r="DB29" s="17"/>
      <c r="DC29" s="12"/>
      <c r="DD29" s="12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X29" s="9"/>
      <c r="EY29" s="9"/>
      <c r="EZ29" s="9"/>
      <c r="FA29" s="15"/>
      <c r="FB29" s="14"/>
      <c r="FC29" s="10"/>
      <c r="FD29" s="10"/>
      <c r="FE29" s="10"/>
      <c r="FF29" s="10"/>
      <c r="FG29" s="10"/>
      <c r="FH29" s="10"/>
    </row>
    <row r="30" spans="2:164" x14ac:dyDescent="0.25">
      <c r="B30"/>
      <c r="C30"/>
      <c r="D30"/>
      <c r="E30"/>
      <c r="F30" s="16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s="16"/>
      <c r="W30"/>
      <c r="X30"/>
      <c r="Y30"/>
      <c r="Z30"/>
      <c r="AA30"/>
      <c r="AB30"/>
      <c r="AC30"/>
      <c r="AD30"/>
      <c r="AE30"/>
      <c r="AF30"/>
      <c r="AG30"/>
      <c r="AH30"/>
      <c r="AI30"/>
      <c r="AJ30" s="12"/>
      <c r="AK30" s="12"/>
      <c r="AL30" s="17"/>
      <c r="AP30" s="17"/>
      <c r="AQ30" s="12"/>
      <c r="AR30" s="12"/>
      <c r="AT30" s="17"/>
      <c r="AU30" s="12"/>
      <c r="AV30" s="12"/>
      <c r="AW30" s="17"/>
      <c r="AX30" s="12"/>
      <c r="AY30" s="12"/>
      <c r="BA30" s="12"/>
      <c r="BB30" s="12"/>
      <c r="BC30" s="17"/>
      <c r="BD30" s="12"/>
      <c r="BE30" s="12"/>
      <c r="BG30" s="12"/>
      <c r="BH30" s="12"/>
      <c r="BJ30" s="12"/>
      <c r="BK30" s="12"/>
      <c r="BM30" s="12"/>
      <c r="BN30" s="12"/>
      <c r="BQ30" s="12"/>
      <c r="BR30" s="12"/>
      <c r="BU30" s="12"/>
      <c r="BV30" s="12"/>
      <c r="BY30" s="12"/>
      <c r="BZ30" s="12"/>
      <c r="CC30" s="12"/>
      <c r="CD30" s="12"/>
      <c r="CE30"/>
      <c r="CG30" s="12"/>
      <c r="CH30" s="12"/>
      <c r="CJ30" s="12"/>
      <c r="CK30" s="12"/>
      <c r="CN30" s="12"/>
      <c r="CO30" s="12"/>
      <c r="CT30"/>
      <c r="CV30" s="12"/>
      <c r="CW30" s="12"/>
      <c r="CX30" s="17"/>
      <c r="CZ30" s="12"/>
      <c r="DA30" s="12"/>
      <c r="DB30" s="17"/>
      <c r="DC30" s="12"/>
      <c r="DD30" s="12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X30" s="9"/>
      <c r="EY30" s="9"/>
      <c r="EZ30" s="9"/>
      <c r="FA30" s="15"/>
      <c r="FB30" s="14"/>
      <c r="FC30" s="10"/>
      <c r="FD30" s="10"/>
      <c r="FE30" s="10"/>
      <c r="FF30" s="10"/>
      <c r="FG30" s="10"/>
      <c r="FH30" s="10"/>
    </row>
    <row r="31" spans="2:164" x14ac:dyDescent="0.25">
      <c r="B31"/>
      <c r="C31"/>
      <c r="D31"/>
      <c r="E31"/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s="16"/>
      <c r="W31"/>
      <c r="X31"/>
      <c r="Y31"/>
      <c r="Z31"/>
      <c r="AA31"/>
      <c r="AB31"/>
      <c r="AC31"/>
      <c r="AD31"/>
      <c r="AE31"/>
      <c r="AF31"/>
      <c r="AG31"/>
      <c r="AH31"/>
      <c r="AI31"/>
      <c r="AJ31" s="12"/>
      <c r="AK31" s="12"/>
      <c r="AL31" s="17"/>
      <c r="AN31" s="17"/>
      <c r="AP31" s="17"/>
      <c r="AQ31" s="12"/>
      <c r="AR31" s="12"/>
      <c r="AT31" s="17"/>
      <c r="AU31" s="12"/>
      <c r="AV31" s="12"/>
      <c r="AW31" s="17"/>
      <c r="AX31" s="12"/>
      <c r="AY31" s="12"/>
      <c r="BA31" s="12"/>
      <c r="BB31" s="12"/>
      <c r="BC31" s="17"/>
      <c r="BD31" s="12"/>
      <c r="BE31" s="12"/>
      <c r="BG31" s="12"/>
      <c r="BH31" s="12"/>
      <c r="BJ31" s="12"/>
      <c r="BK31" s="12"/>
      <c r="BM31" s="12"/>
      <c r="BN31" s="12"/>
      <c r="BQ31" s="12"/>
      <c r="BR31" s="12"/>
      <c r="BU31" s="12"/>
      <c r="BV31" s="12"/>
      <c r="BY31" s="12"/>
      <c r="BZ31" s="12"/>
      <c r="CC31" s="12"/>
      <c r="CD31" s="12"/>
      <c r="CE31"/>
      <c r="CG31" s="12"/>
      <c r="CH31" s="12"/>
      <c r="CJ31" s="12"/>
      <c r="CK31" s="12"/>
      <c r="CN31" s="12"/>
      <c r="CO31" s="12"/>
      <c r="CT31"/>
      <c r="CV31" s="12"/>
      <c r="CW31" s="12"/>
      <c r="CX31" s="17"/>
      <c r="CZ31" s="12"/>
      <c r="DA31" s="12"/>
      <c r="DB31" s="17"/>
      <c r="DC31" s="12"/>
      <c r="DD31" s="12"/>
      <c r="DF31" s="17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X31" s="9"/>
      <c r="EY31" s="9"/>
      <c r="EZ31" s="9"/>
      <c r="FA31" s="15"/>
      <c r="FB31" s="14"/>
      <c r="FC31" s="10"/>
      <c r="FD31" s="10"/>
      <c r="FE31" s="10"/>
      <c r="FF31" s="10"/>
      <c r="FG31" s="10"/>
      <c r="FH31" s="10"/>
    </row>
    <row r="32" spans="2:164" x14ac:dyDescent="0.25">
      <c r="B32"/>
      <c r="C32"/>
      <c r="D32"/>
      <c r="E32"/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s="16"/>
      <c r="W32"/>
      <c r="X32"/>
      <c r="Y32"/>
      <c r="Z32"/>
      <c r="AA32"/>
      <c r="AB32"/>
      <c r="AC32"/>
      <c r="AD32"/>
      <c r="AE32"/>
      <c r="AF32"/>
      <c r="AG32"/>
      <c r="AH32"/>
      <c r="AI32"/>
      <c r="AJ32" s="12"/>
      <c r="AK32" s="12"/>
      <c r="AL32" s="17"/>
      <c r="AP32" s="17"/>
      <c r="AQ32" s="12"/>
      <c r="AR32" s="12"/>
      <c r="AT32" s="17"/>
      <c r="AU32" s="12"/>
      <c r="AV32" s="12"/>
      <c r="AW32" s="17"/>
      <c r="AX32" s="12"/>
      <c r="AY32" s="12"/>
      <c r="BA32" s="12"/>
      <c r="BB32" s="12"/>
      <c r="BC32" s="17"/>
      <c r="BD32" s="12"/>
      <c r="BE32" s="12"/>
      <c r="BG32" s="12"/>
      <c r="BH32" s="12"/>
      <c r="BJ32" s="12"/>
      <c r="BK32" s="12"/>
      <c r="BM32" s="12"/>
      <c r="BN32" s="12"/>
      <c r="BQ32" s="12"/>
      <c r="BR32" s="12"/>
      <c r="BU32" s="12"/>
      <c r="BV32" s="12"/>
      <c r="BY32" s="12"/>
      <c r="BZ32" s="12"/>
      <c r="CC32" s="12"/>
      <c r="CD32" s="12"/>
      <c r="CE32"/>
      <c r="CG32" s="12"/>
      <c r="CH32" s="12"/>
      <c r="CJ32" s="12"/>
      <c r="CK32" s="12"/>
      <c r="CN32" s="12"/>
      <c r="CO32" s="12"/>
      <c r="CT32"/>
      <c r="CV32" s="12"/>
      <c r="CW32" s="12"/>
      <c r="CX32" s="17"/>
      <c r="CZ32" s="12"/>
      <c r="DA32" s="12"/>
      <c r="DB32" s="17"/>
      <c r="DC32" s="12"/>
      <c r="DD32" s="12"/>
      <c r="DE32" s="17"/>
      <c r="DF32" s="17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X32" s="9"/>
      <c r="EY32" s="9"/>
      <c r="EZ32" s="9"/>
      <c r="FA32" s="15"/>
      <c r="FB32" s="14"/>
      <c r="FC32" s="10"/>
      <c r="FD32" s="10"/>
      <c r="FE32" s="10"/>
      <c r="FF32" s="10"/>
      <c r="FG32" s="10"/>
      <c r="FH32" s="10"/>
    </row>
    <row r="33" spans="2:164" x14ac:dyDescent="0.25">
      <c r="B33"/>
      <c r="C33"/>
      <c r="D33"/>
      <c r="E33"/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s="16"/>
      <c r="W33"/>
      <c r="X33"/>
      <c r="Y33"/>
      <c r="Z33"/>
      <c r="AA33"/>
      <c r="AB33"/>
      <c r="AC33"/>
      <c r="AD33"/>
      <c r="AE33"/>
      <c r="AF33"/>
      <c r="AG33"/>
      <c r="AH33"/>
      <c r="AI33"/>
      <c r="AJ33" s="12"/>
      <c r="AK33" s="12"/>
      <c r="AL33" s="17"/>
      <c r="AP33" s="17"/>
      <c r="AQ33" s="12"/>
      <c r="AR33" s="12"/>
      <c r="AT33" s="17"/>
      <c r="AU33" s="12"/>
      <c r="AV33" s="12"/>
      <c r="AW33" s="17"/>
      <c r="AX33" s="12"/>
      <c r="AY33" s="12"/>
      <c r="BA33" s="12"/>
      <c r="BB33" s="12"/>
      <c r="BC33" s="17"/>
      <c r="BD33" s="12"/>
      <c r="BE33" s="12"/>
      <c r="BG33" s="12"/>
      <c r="BH33" s="12"/>
      <c r="BJ33" s="12"/>
      <c r="BK33" s="12"/>
      <c r="BM33" s="12"/>
      <c r="BN33" s="12"/>
      <c r="BQ33" s="12"/>
      <c r="BR33" s="12"/>
      <c r="BU33" s="12"/>
      <c r="BV33" s="12"/>
      <c r="BY33" s="12"/>
      <c r="BZ33" s="12"/>
      <c r="CC33" s="12"/>
      <c r="CD33" s="12"/>
      <c r="CE33"/>
      <c r="CG33" s="12"/>
      <c r="CH33" s="12"/>
      <c r="CJ33" s="12"/>
      <c r="CK33" s="12"/>
      <c r="CN33" s="12"/>
      <c r="CO33" s="12"/>
      <c r="CT33"/>
      <c r="CV33" s="12"/>
      <c r="CW33" s="12"/>
      <c r="CX33" s="17"/>
      <c r="CZ33" s="12"/>
      <c r="DA33" s="12"/>
      <c r="DC33" s="12"/>
      <c r="DD33" s="12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X33" s="9"/>
      <c r="EY33" s="9"/>
      <c r="EZ33" s="9"/>
      <c r="FA33" s="15"/>
      <c r="FB33" s="14"/>
      <c r="FC33" s="10"/>
      <c r="FD33" s="10"/>
      <c r="FE33" s="10"/>
      <c r="FF33" s="10"/>
      <c r="FG33" s="10"/>
      <c r="FH33" s="10"/>
    </row>
    <row r="34" spans="2:164" x14ac:dyDescent="0.25">
      <c r="B34"/>
      <c r="C34"/>
      <c r="D34"/>
      <c r="E34"/>
      <c r="F34" s="16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s="16"/>
      <c r="W34"/>
      <c r="X34"/>
      <c r="Y34"/>
      <c r="Z34"/>
      <c r="AA34"/>
      <c r="AB34"/>
      <c r="AC34"/>
      <c r="AD34"/>
      <c r="AE34"/>
      <c r="AF34"/>
      <c r="AG34"/>
      <c r="AH34"/>
      <c r="AI34"/>
      <c r="AJ34" s="12"/>
      <c r="AK34" s="12"/>
      <c r="AL34" s="17"/>
      <c r="AN34" s="17"/>
      <c r="AP34" s="17"/>
      <c r="AQ34" s="12"/>
      <c r="AR34" s="12"/>
      <c r="AT34" s="17"/>
      <c r="AU34" s="12"/>
      <c r="AV34" s="12"/>
      <c r="AW34" s="17"/>
      <c r="AX34" s="12"/>
      <c r="AY34" s="12"/>
      <c r="BA34" s="12"/>
      <c r="BB34" s="12"/>
      <c r="BC34" s="17"/>
      <c r="BD34" s="12"/>
      <c r="BE34" s="12"/>
      <c r="BG34" s="12"/>
      <c r="BH34" s="12"/>
      <c r="BJ34" s="12"/>
      <c r="BK34" s="12"/>
      <c r="BM34" s="12"/>
      <c r="BN34" s="12"/>
      <c r="BO34" s="17"/>
      <c r="BQ34" s="12"/>
      <c r="BR34" s="12"/>
      <c r="BU34" s="12"/>
      <c r="BV34" s="12"/>
      <c r="BY34" s="12"/>
      <c r="BZ34" s="12"/>
      <c r="CC34" s="12"/>
      <c r="CD34" s="12"/>
      <c r="CE34"/>
      <c r="CG34" s="12"/>
      <c r="CH34" s="12"/>
      <c r="CJ34" s="12"/>
      <c r="CK34" s="12"/>
      <c r="CN34" s="12"/>
      <c r="CO34" s="12"/>
      <c r="CT34"/>
      <c r="CV34" s="12"/>
      <c r="CW34" s="12"/>
      <c r="CX34" s="17"/>
      <c r="CZ34" s="12"/>
      <c r="DA34" s="12"/>
      <c r="DC34" s="12"/>
      <c r="DD34" s="12"/>
      <c r="DF34" s="17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X34" s="9"/>
      <c r="EY34" s="9"/>
      <c r="EZ34" s="9"/>
      <c r="FA34" s="15"/>
      <c r="FB34" s="14"/>
      <c r="FC34" s="10"/>
      <c r="FD34" s="10"/>
      <c r="FE34" s="10"/>
      <c r="FF34" s="10"/>
      <c r="FG34" s="10"/>
      <c r="FH34" s="10"/>
    </row>
    <row r="35" spans="2:164" x14ac:dyDescent="0.25">
      <c r="B35"/>
      <c r="C35"/>
      <c r="D35"/>
      <c r="E35"/>
      <c r="F35" s="16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s="16"/>
      <c r="W35"/>
      <c r="X35"/>
      <c r="Y35"/>
      <c r="Z35"/>
      <c r="AA35"/>
      <c r="AB35"/>
      <c r="AC35"/>
      <c r="AD35"/>
      <c r="AE35"/>
      <c r="AF35"/>
      <c r="AG35"/>
      <c r="AH35"/>
      <c r="AI35"/>
      <c r="AJ35" s="12"/>
      <c r="AK35" s="12"/>
      <c r="AL35" s="17"/>
      <c r="AP35" s="17"/>
      <c r="AQ35" s="12"/>
      <c r="AR35" s="12"/>
      <c r="AT35" s="17"/>
      <c r="AU35" s="12"/>
      <c r="AV35" s="12"/>
      <c r="AW35" s="17"/>
      <c r="AX35" s="12"/>
      <c r="AY35" s="12"/>
      <c r="BA35" s="12"/>
      <c r="BB35" s="12"/>
      <c r="BC35" s="17"/>
      <c r="BD35" s="12"/>
      <c r="BE35" s="12"/>
      <c r="BG35" s="12"/>
      <c r="BH35" s="12"/>
      <c r="BJ35" s="12"/>
      <c r="BK35" s="12"/>
      <c r="BM35" s="12"/>
      <c r="BN35" s="12"/>
      <c r="BQ35" s="12"/>
      <c r="BR35" s="12"/>
      <c r="BU35" s="12"/>
      <c r="BV35" s="12"/>
      <c r="BY35" s="12"/>
      <c r="BZ35" s="12"/>
      <c r="CC35" s="12"/>
      <c r="CD35" s="12"/>
      <c r="CE35"/>
      <c r="CG35" s="12"/>
      <c r="CH35" s="12"/>
      <c r="CJ35" s="12"/>
      <c r="CK35" s="12"/>
      <c r="CN35" s="12"/>
      <c r="CO35" s="12"/>
      <c r="CT35"/>
      <c r="CV35" s="12"/>
      <c r="CW35" s="12"/>
      <c r="CX35" s="17"/>
      <c r="CZ35" s="12"/>
      <c r="DA35" s="12"/>
      <c r="DB35" s="17"/>
      <c r="DC35" s="12"/>
      <c r="DD35" s="12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X35" s="9"/>
      <c r="EY35" s="9"/>
      <c r="EZ35" s="9"/>
      <c r="FA35" s="15"/>
      <c r="FB35" s="14"/>
      <c r="FC35" s="10"/>
      <c r="FD35" s="10"/>
      <c r="FE35" s="10"/>
      <c r="FF35" s="10"/>
      <c r="FG35" s="10"/>
      <c r="FH35" s="10"/>
    </row>
    <row r="36" spans="2:164" x14ac:dyDescent="0.25">
      <c r="B36"/>
      <c r="C36"/>
      <c r="D36"/>
      <c r="E36"/>
      <c r="F36" s="1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s="16"/>
      <c r="W36"/>
      <c r="X36"/>
      <c r="Y36"/>
      <c r="Z36"/>
      <c r="AA36"/>
      <c r="AB36"/>
      <c r="AC36"/>
      <c r="AD36"/>
      <c r="AE36"/>
      <c r="AF36"/>
      <c r="AG36"/>
      <c r="AH36"/>
      <c r="AI36"/>
      <c r="AJ36" s="12"/>
      <c r="AK36" s="12"/>
      <c r="AL36" s="17"/>
      <c r="AN36" s="17"/>
      <c r="AP36" s="17"/>
      <c r="AQ36" s="12"/>
      <c r="AR36" s="12"/>
      <c r="AT36" s="17"/>
      <c r="AU36" s="12"/>
      <c r="AV36" s="12"/>
      <c r="AW36" s="17"/>
      <c r="AX36" s="12"/>
      <c r="AY36" s="12"/>
      <c r="BA36" s="12"/>
      <c r="BB36" s="12"/>
      <c r="BC36" s="17"/>
      <c r="BD36" s="12"/>
      <c r="BE36" s="12"/>
      <c r="BG36" s="12"/>
      <c r="BH36" s="12"/>
      <c r="BJ36" s="12"/>
      <c r="BK36" s="12"/>
      <c r="BM36" s="12"/>
      <c r="BN36" s="12"/>
      <c r="BO36" s="17"/>
      <c r="BQ36" s="12"/>
      <c r="BR36" s="12"/>
      <c r="BU36" s="12"/>
      <c r="BV36" s="12"/>
      <c r="BY36" s="12"/>
      <c r="BZ36" s="12"/>
      <c r="CC36" s="12"/>
      <c r="CD36" s="12"/>
      <c r="CE36"/>
      <c r="CG36" s="12"/>
      <c r="CH36" s="12"/>
      <c r="CJ36" s="12"/>
      <c r="CK36" s="12"/>
      <c r="CN36" s="12"/>
      <c r="CO36" s="12"/>
      <c r="CT36"/>
      <c r="CV36" s="12"/>
      <c r="CW36" s="12"/>
      <c r="CX36" s="17"/>
      <c r="CZ36" s="12"/>
      <c r="DA36" s="12"/>
      <c r="DB36" s="17"/>
      <c r="DC36" s="12"/>
      <c r="DD36" s="12"/>
      <c r="DF36" s="17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X36" s="9"/>
      <c r="EY36" s="9"/>
      <c r="EZ36" s="9"/>
      <c r="FA36" s="15"/>
      <c r="FB36" s="14"/>
      <c r="FC36" s="10"/>
      <c r="FD36" s="10"/>
      <c r="FE36" s="10"/>
      <c r="FF36" s="10"/>
      <c r="FG36" s="10"/>
      <c r="FH36" s="10"/>
    </row>
    <row r="37" spans="2:164" x14ac:dyDescent="0.25">
      <c r="B37"/>
      <c r="C37"/>
      <c r="D37"/>
      <c r="E37"/>
      <c r="F37" s="16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16"/>
      <c r="W37"/>
      <c r="X37"/>
      <c r="Y37"/>
      <c r="Z37"/>
      <c r="AA37"/>
      <c r="AB37"/>
      <c r="AC37"/>
      <c r="AD37"/>
      <c r="AE37"/>
      <c r="AF37"/>
      <c r="AG37"/>
      <c r="AH37"/>
      <c r="AI37"/>
      <c r="AJ37" s="12"/>
      <c r="AK37" s="12"/>
      <c r="AL37" s="17"/>
      <c r="AN37" s="17"/>
      <c r="AP37" s="17"/>
      <c r="AQ37" s="12"/>
      <c r="AR37" s="12"/>
      <c r="AT37" s="17"/>
      <c r="AU37" s="12"/>
      <c r="AV37" s="12"/>
      <c r="AW37" s="17"/>
      <c r="AX37" s="12"/>
      <c r="AY37" s="12"/>
      <c r="BA37" s="12"/>
      <c r="BB37" s="12"/>
      <c r="BC37" s="17"/>
      <c r="BD37" s="12"/>
      <c r="BE37" s="12"/>
      <c r="BG37" s="12"/>
      <c r="BH37" s="12"/>
      <c r="BJ37" s="12"/>
      <c r="BK37" s="12"/>
      <c r="BM37" s="12"/>
      <c r="BN37" s="12"/>
      <c r="BO37" s="17"/>
      <c r="BQ37" s="12"/>
      <c r="BR37" s="12"/>
      <c r="BU37" s="12"/>
      <c r="BV37" s="12"/>
      <c r="BY37" s="12"/>
      <c r="BZ37" s="12"/>
      <c r="CC37" s="12"/>
      <c r="CD37" s="12"/>
      <c r="CE37"/>
      <c r="CG37" s="12"/>
      <c r="CH37" s="12"/>
      <c r="CJ37" s="12"/>
      <c r="CK37" s="12"/>
      <c r="CN37" s="12"/>
      <c r="CO37" s="12"/>
      <c r="CT37"/>
      <c r="CV37" s="12"/>
      <c r="CW37" s="12"/>
      <c r="CX37" s="17"/>
      <c r="CZ37" s="12"/>
      <c r="DA37" s="12"/>
      <c r="DB37" s="17"/>
      <c r="DC37" s="12"/>
      <c r="DD37" s="12"/>
      <c r="DF37" s="1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X37" s="9"/>
      <c r="EY37" s="9"/>
      <c r="EZ37" s="9"/>
      <c r="FA37" s="15"/>
      <c r="FB37" s="14"/>
      <c r="FC37" s="10"/>
      <c r="FD37" s="10"/>
      <c r="FE37" s="10"/>
      <c r="FF37" s="10"/>
      <c r="FG37" s="10"/>
      <c r="FH37" s="10"/>
    </row>
    <row r="38" spans="2:164" x14ac:dyDescent="0.25">
      <c r="B38"/>
      <c r="C38"/>
      <c r="D38"/>
      <c r="E38"/>
      <c r="F38" s="16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s="16"/>
      <c r="W38"/>
      <c r="X38"/>
      <c r="Y38"/>
      <c r="Z38"/>
      <c r="AA38"/>
      <c r="AB38"/>
      <c r="AC38"/>
      <c r="AD38"/>
      <c r="AE38"/>
      <c r="AF38"/>
      <c r="AG38"/>
      <c r="AH38"/>
      <c r="AI38"/>
      <c r="AJ38" s="12"/>
      <c r="AK38" s="12"/>
      <c r="AL38" s="17"/>
      <c r="AN38" s="17"/>
      <c r="AP38" s="17"/>
      <c r="AQ38" s="12"/>
      <c r="AR38" s="12"/>
      <c r="AT38" s="17"/>
      <c r="AU38" s="12"/>
      <c r="AV38" s="12"/>
      <c r="AW38" s="17"/>
      <c r="AX38" s="12"/>
      <c r="AY38" s="12"/>
      <c r="BA38" s="12"/>
      <c r="BB38" s="12"/>
      <c r="BD38" s="12"/>
      <c r="BE38" s="12"/>
      <c r="BF38" s="17"/>
      <c r="BG38" s="12"/>
      <c r="BH38" s="12"/>
      <c r="BJ38" s="12"/>
      <c r="BK38" s="12"/>
      <c r="BM38" s="12"/>
      <c r="BN38" s="12"/>
      <c r="BQ38" s="12"/>
      <c r="BR38" s="12"/>
      <c r="BU38" s="12"/>
      <c r="BV38" s="12"/>
      <c r="BY38" s="12"/>
      <c r="BZ38" s="12"/>
      <c r="CC38" s="12"/>
      <c r="CD38" s="12"/>
      <c r="CE38"/>
      <c r="CG38" s="12"/>
      <c r="CH38" s="12"/>
      <c r="CJ38" s="12"/>
      <c r="CK38" s="12"/>
      <c r="CN38" s="12"/>
      <c r="CO38" s="12"/>
      <c r="CT38"/>
      <c r="CV38" s="12"/>
      <c r="CW38" s="12"/>
      <c r="CZ38" s="12"/>
      <c r="DA38" s="12"/>
      <c r="DC38" s="12"/>
      <c r="DD38" s="12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X38" s="9"/>
      <c r="EY38" s="9"/>
      <c r="EZ38" s="9"/>
      <c r="FA38" s="15"/>
      <c r="FB38" s="14"/>
      <c r="FC38" s="10"/>
      <c r="FD38" s="10"/>
      <c r="FE38" s="10"/>
      <c r="FF38" s="10"/>
      <c r="FG38" s="10"/>
      <c r="FH38" s="10"/>
    </row>
    <row r="39" spans="2:164" x14ac:dyDescent="0.25">
      <c r="B39"/>
      <c r="C39"/>
      <c r="D39"/>
      <c r="E39"/>
      <c r="F39" s="16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s="16"/>
      <c r="W39"/>
      <c r="X39"/>
      <c r="Y39"/>
      <c r="Z39"/>
      <c r="AA39"/>
      <c r="AB39"/>
      <c r="AC39"/>
      <c r="AD39"/>
      <c r="AE39"/>
      <c r="AF39"/>
      <c r="AG39"/>
      <c r="AH39"/>
      <c r="AI39"/>
      <c r="AJ39" s="12"/>
      <c r="AK39" s="12"/>
      <c r="AL39" s="17"/>
      <c r="AP39" s="17"/>
      <c r="AQ39" s="12"/>
      <c r="AR39" s="12"/>
      <c r="AT39" s="17"/>
      <c r="AU39" s="12"/>
      <c r="AV39" s="12"/>
      <c r="AW39" s="17"/>
      <c r="AX39" s="12"/>
      <c r="AY39" s="12"/>
      <c r="BA39" s="12"/>
      <c r="BB39" s="12"/>
      <c r="BC39" s="17"/>
      <c r="BD39" s="12"/>
      <c r="BE39" s="12"/>
      <c r="BG39" s="12"/>
      <c r="BH39" s="12"/>
      <c r="BJ39" s="12"/>
      <c r="BK39" s="12"/>
      <c r="BM39" s="12"/>
      <c r="BN39" s="12"/>
      <c r="BQ39" s="12"/>
      <c r="BR39" s="12"/>
      <c r="BU39" s="12"/>
      <c r="BV39" s="12"/>
      <c r="BY39" s="12"/>
      <c r="BZ39" s="12"/>
      <c r="CC39" s="12"/>
      <c r="CD39" s="12"/>
      <c r="CE39"/>
      <c r="CG39" s="12"/>
      <c r="CH39" s="12"/>
      <c r="CJ39" s="12"/>
      <c r="CK39" s="12"/>
      <c r="CN39" s="12"/>
      <c r="CO39" s="12"/>
      <c r="CT39"/>
      <c r="CV39" s="12"/>
      <c r="CW39" s="12"/>
      <c r="CX39" s="17"/>
      <c r="CZ39" s="12"/>
      <c r="DA39" s="12"/>
      <c r="DC39" s="12"/>
      <c r="DD39" s="12"/>
      <c r="DE39" s="17"/>
      <c r="DF39" s="17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X39" s="9"/>
      <c r="EY39" s="9"/>
      <c r="EZ39" s="9"/>
      <c r="FA39" s="15"/>
      <c r="FB39" s="14"/>
      <c r="FC39" s="10"/>
      <c r="FD39" s="10"/>
      <c r="FE39" s="10"/>
      <c r="FF39" s="10"/>
      <c r="FG39" s="10"/>
      <c r="FH39" s="10"/>
    </row>
    <row r="40" spans="2:164" x14ac:dyDescent="0.25">
      <c r="B40"/>
      <c r="C40"/>
      <c r="D40"/>
      <c r="E40"/>
      <c r="F40" s="16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s="16"/>
      <c r="W40"/>
      <c r="X40"/>
      <c r="Y40"/>
      <c r="Z40"/>
      <c r="AA40"/>
      <c r="AB40"/>
      <c r="AC40"/>
      <c r="AD40"/>
      <c r="AE40"/>
      <c r="AF40"/>
      <c r="AG40"/>
      <c r="AH40"/>
      <c r="AI40"/>
      <c r="AJ40" s="12"/>
      <c r="AK40" s="12"/>
      <c r="AL40" s="17"/>
      <c r="AQ40" s="12"/>
      <c r="AR40" s="12"/>
      <c r="AU40" s="12"/>
      <c r="AV40" s="12"/>
      <c r="AW40" s="17"/>
      <c r="AX40" s="12"/>
      <c r="AY40" s="12"/>
      <c r="BA40" s="12"/>
      <c r="BB40" s="12"/>
      <c r="BC40" s="17"/>
      <c r="BD40" s="12"/>
      <c r="BE40" s="12"/>
      <c r="BG40" s="12"/>
      <c r="BH40" s="12"/>
      <c r="BJ40" s="12"/>
      <c r="BK40" s="12"/>
      <c r="BM40" s="12"/>
      <c r="BN40" s="12"/>
      <c r="BQ40" s="12"/>
      <c r="BR40" s="12"/>
      <c r="BU40" s="12"/>
      <c r="BV40" s="12"/>
      <c r="BY40" s="12"/>
      <c r="BZ40" s="12"/>
      <c r="CC40" s="12"/>
      <c r="CD40" s="12"/>
      <c r="CE40"/>
      <c r="CG40" s="12"/>
      <c r="CH40" s="12"/>
      <c r="CJ40" s="12"/>
      <c r="CK40" s="12"/>
      <c r="CN40" s="12"/>
      <c r="CO40" s="12"/>
      <c r="CT40"/>
      <c r="CV40" s="12"/>
      <c r="CW40" s="12"/>
      <c r="CX40" s="17"/>
      <c r="CZ40" s="12"/>
      <c r="DA40" s="12"/>
      <c r="DC40" s="12"/>
      <c r="DD40" s="12"/>
      <c r="DF40" s="17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X40" s="9"/>
      <c r="EY40" s="9"/>
      <c r="EZ40" s="9"/>
      <c r="FA40" s="15"/>
      <c r="FB40" s="14"/>
      <c r="FC40" s="10"/>
      <c r="FD40" s="10"/>
      <c r="FE40" s="10"/>
      <c r="FF40" s="10"/>
      <c r="FG40" s="10"/>
      <c r="FH40" s="10"/>
    </row>
    <row r="41" spans="2:164" x14ac:dyDescent="0.25">
      <c r="B41"/>
      <c r="C41"/>
      <c r="D41"/>
      <c r="E41"/>
      <c r="F41" s="16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s="16"/>
      <c r="W41"/>
      <c r="X41"/>
      <c r="Y41"/>
      <c r="Z41"/>
      <c r="AA41"/>
      <c r="AB41"/>
      <c r="AC41"/>
      <c r="AD41"/>
      <c r="AE41"/>
      <c r="AF41"/>
      <c r="AG41"/>
      <c r="AH41"/>
      <c r="AI41"/>
      <c r="AJ41" s="12"/>
      <c r="AK41" s="12"/>
      <c r="AL41" s="17"/>
      <c r="AP41" s="17"/>
      <c r="AQ41" s="12"/>
      <c r="AR41" s="12"/>
      <c r="AT41" s="17"/>
      <c r="AU41" s="12"/>
      <c r="AV41" s="12"/>
      <c r="AW41" s="17"/>
      <c r="AX41" s="12"/>
      <c r="AY41" s="12"/>
      <c r="BA41" s="12"/>
      <c r="BB41" s="12"/>
      <c r="BC41" s="17"/>
      <c r="BD41" s="12"/>
      <c r="BE41" s="12"/>
      <c r="BG41" s="12"/>
      <c r="BH41" s="12"/>
      <c r="BJ41" s="12"/>
      <c r="BK41" s="12"/>
      <c r="BM41" s="12"/>
      <c r="BN41" s="12"/>
      <c r="BQ41" s="12"/>
      <c r="BR41" s="12"/>
      <c r="BU41" s="12"/>
      <c r="BV41" s="12"/>
      <c r="BY41" s="12"/>
      <c r="BZ41" s="12"/>
      <c r="CC41" s="12"/>
      <c r="CD41" s="12"/>
      <c r="CE41"/>
      <c r="CG41" s="12"/>
      <c r="CH41" s="12"/>
      <c r="CJ41" s="12"/>
      <c r="CK41" s="12"/>
      <c r="CN41" s="12"/>
      <c r="CO41" s="12"/>
      <c r="CT41"/>
      <c r="CV41" s="12"/>
      <c r="CW41" s="12"/>
      <c r="CX41" s="17"/>
      <c r="CZ41" s="12"/>
      <c r="DA41" s="12"/>
      <c r="DC41" s="12"/>
      <c r="DD41" s="12"/>
      <c r="DE41" s="17"/>
      <c r="DF41" s="17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X41" s="9"/>
      <c r="EY41" s="9"/>
      <c r="EZ41" s="9"/>
      <c r="FA41" s="15"/>
      <c r="FB41" s="14"/>
      <c r="FC41" s="10"/>
      <c r="FD41" s="10"/>
      <c r="FE41" s="10"/>
      <c r="FF41" s="10"/>
      <c r="FG41" s="10"/>
      <c r="FH41" s="10"/>
    </row>
    <row r="42" spans="2:164" x14ac:dyDescent="0.25">
      <c r="B42"/>
      <c r="C42"/>
      <c r="D42"/>
      <c r="E42"/>
      <c r="F42" s="16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s="16"/>
      <c r="W42"/>
      <c r="X42"/>
      <c r="Y42"/>
      <c r="Z42"/>
      <c r="AA42"/>
      <c r="AB42"/>
      <c r="AC42"/>
      <c r="AD42"/>
      <c r="AE42"/>
      <c r="AF42"/>
      <c r="AG42"/>
      <c r="AH42"/>
      <c r="AI42"/>
      <c r="AJ42" s="12"/>
      <c r="AK42" s="12"/>
      <c r="AL42" s="17"/>
      <c r="AP42" s="17"/>
      <c r="AQ42" s="12"/>
      <c r="AR42" s="12"/>
      <c r="AT42" s="17"/>
      <c r="AU42" s="12"/>
      <c r="AV42" s="12"/>
      <c r="AW42" s="17"/>
      <c r="AX42" s="12"/>
      <c r="AY42" s="12"/>
      <c r="BA42" s="12"/>
      <c r="BB42" s="12"/>
      <c r="BC42" s="17"/>
      <c r="BD42" s="12"/>
      <c r="BE42" s="12"/>
      <c r="BG42" s="12"/>
      <c r="BH42" s="12"/>
      <c r="BJ42" s="12"/>
      <c r="BK42" s="12"/>
      <c r="BM42" s="12"/>
      <c r="BN42" s="12"/>
      <c r="BQ42" s="12"/>
      <c r="BR42" s="12"/>
      <c r="BU42" s="12"/>
      <c r="BV42" s="12"/>
      <c r="BY42" s="12"/>
      <c r="BZ42" s="12"/>
      <c r="CC42" s="12"/>
      <c r="CD42" s="12"/>
      <c r="CE42"/>
      <c r="CG42" s="12"/>
      <c r="CH42" s="12"/>
      <c r="CJ42" s="12"/>
      <c r="CK42" s="12"/>
      <c r="CN42" s="12"/>
      <c r="CO42" s="12"/>
      <c r="CT42"/>
      <c r="CV42" s="12"/>
      <c r="CW42" s="12"/>
      <c r="CX42" s="17"/>
      <c r="CZ42" s="12"/>
      <c r="DA42" s="12"/>
      <c r="DC42" s="12"/>
      <c r="DD42" s="12"/>
      <c r="DF42" s="17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X42" s="9"/>
      <c r="EY42" s="9"/>
      <c r="EZ42" s="9"/>
      <c r="FA42" s="15"/>
      <c r="FB42" s="14"/>
      <c r="FC42" s="10"/>
      <c r="FD42" s="10"/>
      <c r="FE42" s="10"/>
      <c r="FF42" s="10"/>
      <c r="FG42" s="10"/>
      <c r="FH42" s="10"/>
    </row>
    <row r="43" spans="2:164" x14ac:dyDescent="0.25">
      <c r="B43"/>
      <c r="C43"/>
      <c r="D43"/>
      <c r="E43"/>
      <c r="F43" s="16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s="16"/>
      <c r="W43"/>
      <c r="X43"/>
      <c r="Y43"/>
      <c r="Z43"/>
      <c r="AA43"/>
      <c r="AB43"/>
      <c r="AC43"/>
      <c r="AD43"/>
      <c r="AE43"/>
      <c r="AF43"/>
      <c r="AG43"/>
      <c r="AH43"/>
      <c r="AI43"/>
      <c r="AJ43" s="12"/>
      <c r="AK43" s="12"/>
      <c r="AL43" s="17"/>
      <c r="AQ43" s="12"/>
      <c r="AR43" s="12"/>
      <c r="AU43" s="12"/>
      <c r="AV43" s="12"/>
      <c r="AW43" s="17"/>
      <c r="AX43" s="12"/>
      <c r="AY43" s="12"/>
      <c r="BA43" s="12"/>
      <c r="BB43" s="12"/>
      <c r="BD43" s="12"/>
      <c r="BE43" s="12"/>
      <c r="BF43" s="17"/>
      <c r="BG43" s="12"/>
      <c r="BH43" s="12"/>
      <c r="BJ43" s="12"/>
      <c r="BK43" s="12"/>
      <c r="BM43" s="12"/>
      <c r="BN43" s="12"/>
      <c r="BQ43" s="12"/>
      <c r="BR43" s="12"/>
      <c r="BU43" s="12"/>
      <c r="BV43" s="12"/>
      <c r="BY43" s="12"/>
      <c r="BZ43" s="12"/>
      <c r="CC43" s="12"/>
      <c r="CD43" s="12"/>
      <c r="CE43"/>
      <c r="CG43" s="12"/>
      <c r="CH43" s="12"/>
      <c r="CJ43" s="12"/>
      <c r="CK43" s="12"/>
      <c r="CN43" s="12"/>
      <c r="CO43" s="12"/>
      <c r="CT43"/>
      <c r="CV43" s="12"/>
      <c r="CW43" s="12"/>
      <c r="CZ43" s="12"/>
      <c r="DA43" s="12"/>
      <c r="DC43" s="12"/>
      <c r="DD43" s="12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X43" s="9"/>
      <c r="EY43" s="9"/>
      <c r="EZ43" s="9"/>
      <c r="FA43" s="15"/>
      <c r="FB43" s="14"/>
      <c r="FC43" s="10"/>
      <c r="FD43" s="10"/>
      <c r="FE43" s="10"/>
      <c r="FF43" s="10"/>
      <c r="FG43" s="10"/>
      <c r="FH43" s="10"/>
    </row>
    <row r="44" spans="2:164" x14ac:dyDescent="0.25">
      <c r="B44"/>
      <c r="C44"/>
      <c r="D44"/>
      <c r="E44"/>
      <c r="F44" s="16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s="16"/>
      <c r="W44"/>
      <c r="X44"/>
      <c r="Y44"/>
      <c r="Z44"/>
      <c r="AA44"/>
      <c r="AB44"/>
      <c r="AC44"/>
      <c r="AD44"/>
      <c r="AE44"/>
      <c r="AF44"/>
      <c r="AG44"/>
      <c r="AH44"/>
      <c r="AI44"/>
      <c r="AJ44" s="12"/>
      <c r="AK44" s="12"/>
      <c r="AL44" s="17"/>
      <c r="AP44" s="17"/>
      <c r="AQ44" s="12"/>
      <c r="AR44" s="12"/>
      <c r="AT44" s="17"/>
      <c r="AU44" s="12"/>
      <c r="AV44" s="12"/>
      <c r="AW44" s="17"/>
      <c r="AX44" s="12"/>
      <c r="AY44" s="12"/>
      <c r="BA44" s="12"/>
      <c r="BB44" s="12"/>
      <c r="BC44" s="17"/>
      <c r="BD44" s="12"/>
      <c r="BE44" s="12"/>
      <c r="BG44" s="12"/>
      <c r="BH44" s="12"/>
      <c r="BJ44" s="12"/>
      <c r="BK44" s="12"/>
      <c r="BM44" s="12"/>
      <c r="BN44" s="12"/>
      <c r="BQ44" s="12"/>
      <c r="BR44" s="12"/>
      <c r="BU44" s="12"/>
      <c r="BV44" s="12"/>
      <c r="BY44" s="12"/>
      <c r="BZ44" s="12"/>
      <c r="CC44" s="12"/>
      <c r="CD44" s="12"/>
      <c r="CE44"/>
      <c r="CG44" s="12"/>
      <c r="CH44" s="12"/>
      <c r="CJ44" s="12"/>
      <c r="CK44" s="12"/>
      <c r="CN44" s="12"/>
      <c r="CO44" s="12"/>
      <c r="CT44"/>
      <c r="CV44" s="12"/>
      <c r="CW44" s="12"/>
      <c r="CX44" s="17"/>
      <c r="CZ44" s="12"/>
      <c r="DA44" s="12"/>
      <c r="DC44" s="12"/>
      <c r="DD44" s="12"/>
      <c r="DE44" s="17"/>
      <c r="DF44" s="17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X44" s="9"/>
      <c r="EY44" s="9"/>
      <c r="EZ44" s="9"/>
      <c r="FA44" s="15"/>
      <c r="FB44" s="14"/>
      <c r="FC44" s="10"/>
      <c r="FD44" s="10"/>
      <c r="FE44" s="10"/>
      <c r="FF44" s="10"/>
      <c r="FG44" s="10"/>
      <c r="FH44" s="10"/>
    </row>
    <row r="45" spans="2:164" x14ac:dyDescent="0.25">
      <c r="B45"/>
      <c r="C45"/>
      <c r="D45"/>
      <c r="E45"/>
      <c r="F45" s="16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s="16"/>
      <c r="W45"/>
      <c r="X45"/>
      <c r="Y45"/>
      <c r="Z45"/>
      <c r="AA45"/>
      <c r="AB45"/>
      <c r="AC45"/>
      <c r="AD45"/>
      <c r="AE45"/>
      <c r="AF45"/>
      <c r="AG45"/>
      <c r="AH45"/>
      <c r="AI45"/>
      <c r="AJ45" s="12"/>
      <c r="AK45" s="12"/>
      <c r="AL45" s="17"/>
      <c r="AP45" s="17"/>
      <c r="AQ45" s="12"/>
      <c r="AR45" s="12"/>
      <c r="AT45" s="17"/>
      <c r="AU45" s="12"/>
      <c r="AV45" s="12"/>
      <c r="AW45" s="17"/>
      <c r="AX45" s="12"/>
      <c r="AY45" s="12"/>
      <c r="BA45" s="12"/>
      <c r="BB45" s="12"/>
      <c r="BC45" s="17"/>
      <c r="BD45" s="12"/>
      <c r="BE45" s="12"/>
      <c r="BG45" s="12"/>
      <c r="BH45" s="12"/>
      <c r="BJ45" s="12"/>
      <c r="BK45" s="12"/>
      <c r="BM45" s="12"/>
      <c r="BN45" s="12"/>
      <c r="BQ45" s="12"/>
      <c r="BR45" s="12"/>
      <c r="BU45" s="12"/>
      <c r="BV45" s="12"/>
      <c r="BY45" s="12"/>
      <c r="BZ45" s="12"/>
      <c r="CC45" s="12"/>
      <c r="CD45" s="12"/>
      <c r="CE45"/>
      <c r="CG45" s="12"/>
      <c r="CH45" s="12"/>
      <c r="CJ45" s="12"/>
      <c r="CK45" s="12"/>
      <c r="CN45" s="12"/>
      <c r="CO45" s="12"/>
      <c r="CT45"/>
      <c r="CV45" s="12"/>
      <c r="CW45" s="12"/>
      <c r="CZ45" s="12"/>
      <c r="DA45" s="12"/>
      <c r="DC45" s="12"/>
      <c r="DD45" s="12"/>
      <c r="DF45" s="17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X45" s="9"/>
      <c r="EY45" s="9"/>
      <c r="EZ45" s="9"/>
      <c r="FA45" s="15"/>
      <c r="FB45" s="14"/>
      <c r="FC45" s="10"/>
      <c r="FD45" s="10"/>
      <c r="FE45" s="10"/>
      <c r="FF45" s="10"/>
      <c r="FG45" s="10"/>
      <c r="FH45" s="10"/>
    </row>
    <row r="46" spans="2:164" x14ac:dyDescent="0.25">
      <c r="B46"/>
      <c r="C46"/>
      <c r="D46"/>
      <c r="E46"/>
      <c r="F46" s="1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 s="16"/>
      <c r="W46"/>
      <c r="X46"/>
      <c r="Y46"/>
      <c r="Z46"/>
      <c r="AA46"/>
      <c r="AB46"/>
      <c r="AC46"/>
      <c r="AD46"/>
      <c r="AE46"/>
      <c r="AF46"/>
      <c r="AG46"/>
      <c r="AH46"/>
      <c r="AI46"/>
      <c r="AJ46" s="12"/>
      <c r="AK46" s="12"/>
      <c r="AL46" s="17"/>
      <c r="AN46" s="17"/>
      <c r="AP46" s="17"/>
      <c r="AQ46" s="12"/>
      <c r="AR46" s="12"/>
      <c r="AT46" s="17"/>
      <c r="AU46" s="12"/>
      <c r="AV46" s="12"/>
      <c r="AW46" s="17"/>
      <c r="AX46" s="12"/>
      <c r="AY46" s="12"/>
      <c r="BA46" s="12"/>
      <c r="BB46" s="12"/>
      <c r="BD46" s="12"/>
      <c r="BE46" s="12"/>
      <c r="BF46" s="17"/>
      <c r="BG46" s="12"/>
      <c r="BH46" s="12"/>
      <c r="BJ46" s="12"/>
      <c r="BK46" s="12"/>
      <c r="BM46" s="12"/>
      <c r="BN46" s="12"/>
      <c r="BQ46" s="12"/>
      <c r="BR46" s="12"/>
      <c r="BU46" s="12"/>
      <c r="BV46" s="12"/>
      <c r="BY46" s="12"/>
      <c r="BZ46" s="12"/>
      <c r="CC46" s="12"/>
      <c r="CD46" s="12"/>
      <c r="CE46"/>
      <c r="CG46" s="12"/>
      <c r="CH46" s="12"/>
      <c r="CJ46" s="12"/>
      <c r="CK46" s="12"/>
      <c r="CN46" s="12"/>
      <c r="CO46" s="12"/>
      <c r="CT46"/>
      <c r="CV46" s="12"/>
      <c r="CW46" s="12"/>
      <c r="CZ46" s="12"/>
      <c r="DA46" s="12"/>
      <c r="DC46" s="12"/>
      <c r="DD46" s="12"/>
      <c r="DF46" s="17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X46" s="9"/>
      <c r="EY46" s="9"/>
      <c r="EZ46" s="9"/>
      <c r="FA46" s="15"/>
      <c r="FB46" s="14"/>
      <c r="FC46" s="10"/>
      <c r="FD46" s="10"/>
      <c r="FE46" s="10"/>
      <c r="FF46" s="10"/>
      <c r="FG46" s="10"/>
      <c r="FH46" s="10"/>
    </row>
    <row r="47" spans="2:164" x14ac:dyDescent="0.25">
      <c r="B47"/>
      <c r="C47"/>
      <c r="D47"/>
      <c r="E47"/>
      <c r="F47" s="16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16"/>
      <c r="W47"/>
      <c r="X47"/>
      <c r="Y47"/>
      <c r="Z47"/>
      <c r="AA47"/>
      <c r="AB47"/>
      <c r="AC47"/>
      <c r="AD47"/>
      <c r="AE47"/>
      <c r="AF47"/>
      <c r="AG47"/>
      <c r="AH47"/>
      <c r="AI47"/>
      <c r="AJ47" s="12"/>
      <c r="AK47" s="12"/>
      <c r="AL47" s="17"/>
      <c r="AP47" s="17"/>
      <c r="AQ47" s="12"/>
      <c r="AR47" s="12"/>
      <c r="AT47" s="17"/>
      <c r="AU47" s="12"/>
      <c r="AV47" s="12"/>
      <c r="AW47" s="17"/>
      <c r="AX47" s="12"/>
      <c r="AY47" s="12"/>
      <c r="BA47" s="12"/>
      <c r="BB47" s="12"/>
      <c r="BC47" s="17"/>
      <c r="BD47" s="12"/>
      <c r="BE47" s="12"/>
      <c r="BG47" s="12"/>
      <c r="BH47" s="12"/>
      <c r="BJ47" s="12"/>
      <c r="BK47" s="12"/>
      <c r="BM47" s="12"/>
      <c r="BN47" s="12"/>
      <c r="BQ47" s="12"/>
      <c r="BR47" s="12"/>
      <c r="BU47" s="12"/>
      <c r="BV47" s="12"/>
      <c r="BY47" s="12"/>
      <c r="BZ47" s="12"/>
      <c r="CC47" s="12"/>
      <c r="CD47" s="12"/>
      <c r="CE47"/>
      <c r="CG47" s="12"/>
      <c r="CH47" s="12"/>
      <c r="CJ47" s="12"/>
      <c r="CK47" s="12"/>
      <c r="CN47" s="12"/>
      <c r="CO47" s="12"/>
      <c r="CT47"/>
      <c r="CV47" s="12"/>
      <c r="CW47" s="12"/>
      <c r="CX47" s="17"/>
      <c r="CZ47" s="12"/>
      <c r="DA47" s="12"/>
      <c r="DC47" s="12"/>
      <c r="DD47" s="12"/>
      <c r="DE47" s="17"/>
      <c r="DF47" s="1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X47" s="9"/>
      <c r="EY47" s="9"/>
      <c r="EZ47" s="9"/>
      <c r="FA47" s="15"/>
      <c r="FB47" s="14"/>
      <c r="FC47" s="10"/>
      <c r="FD47" s="10"/>
      <c r="FE47" s="10"/>
      <c r="FF47" s="10"/>
      <c r="FG47" s="10"/>
      <c r="FH47" s="10"/>
    </row>
    <row r="48" spans="2:164" x14ac:dyDescent="0.25">
      <c r="B48"/>
      <c r="C48"/>
      <c r="D48"/>
      <c r="E48"/>
      <c r="F48" s="16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16"/>
      <c r="W48"/>
      <c r="X48"/>
      <c r="Y48"/>
      <c r="Z48"/>
      <c r="AA48"/>
      <c r="AB48"/>
      <c r="AC48"/>
      <c r="AD48"/>
      <c r="AE48"/>
      <c r="AF48"/>
      <c r="AG48"/>
      <c r="AH48"/>
      <c r="AI48"/>
      <c r="AJ48" s="12"/>
      <c r="AK48" s="12"/>
      <c r="AL48" s="17"/>
      <c r="AN48" s="17"/>
      <c r="AP48" s="17"/>
      <c r="AQ48" s="12"/>
      <c r="AR48" s="12"/>
      <c r="AT48" s="17"/>
      <c r="AU48" s="12"/>
      <c r="AV48" s="12"/>
      <c r="AW48" s="17"/>
      <c r="AX48" s="12"/>
      <c r="AY48" s="12"/>
      <c r="BA48" s="12"/>
      <c r="BB48" s="12"/>
      <c r="BD48" s="12"/>
      <c r="BE48" s="12"/>
      <c r="BF48" s="17"/>
      <c r="BG48" s="12"/>
      <c r="BH48" s="12"/>
      <c r="BJ48" s="12"/>
      <c r="BK48" s="12"/>
      <c r="BM48" s="12"/>
      <c r="BN48" s="12"/>
      <c r="BO48" s="17"/>
      <c r="BQ48" s="12"/>
      <c r="BR48" s="12"/>
      <c r="BU48" s="12"/>
      <c r="BV48" s="12"/>
      <c r="BY48" s="12"/>
      <c r="BZ48" s="12"/>
      <c r="CC48" s="12"/>
      <c r="CD48" s="12"/>
      <c r="CE48"/>
      <c r="CG48" s="12"/>
      <c r="CH48" s="12"/>
      <c r="CJ48" s="12"/>
      <c r="CK48" s="12"/>
      <c r="CN48" s="12"/>
      <c r="CO48" s="12"/>
      <c r="CT48"/>
      <c r="CV48" s="12"/>
      <c r="CW48" s="12"/>
      <c r="CZ48" s="12"/>
      <c r="DA48" s="12"/>
      <c r="DC48" s="12"/>
      <c r="DD48" s="12"/>
      <c r="DF48" s="17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X48" s="9"/>
      <c r="EY48" s="9"/>
      <c r="EZ48" s="9"/>
      <c r="FA48" s="15"/>
      <c r="FB48" s="14"/>
      <c r="FC48" s="10"/>
      <c r="FD48" s="10"/>
      <c r="FE48" s="10"/>
      <c r="FF48" s="10"/>
      <c r="FG48" s="10"/>
      <c r="FH48" s="10"/>
    </row>
    <row r="49" spans="2:164" x14ac:dyDescent="0.25">
      <c r="B49"/>
      <c r="C49"/>
      <c r="D49"/>
      <c r="E49"/>
      <c r="F49" s="16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s="16"/>
      <c r="W49"/>
      <c r="X49"/>
      <c r="Y49"/>
      <c r="Z49"/>
      <c r="AA49"/>
      <c r="AB49"/>
      <c r="AC49"/>
      <c r="AD49"/>
      <c r="AE49"/>
      <c r="AF49"/>
      <c r="AG49"/>
      <c r="AH49"/>
      <c r="AI49"/>
      <c r="AJ49" s="12"/>
      <c r="AK49" s="12"/>
      <c r="AL49" s="17"/>
      <c r="AP49" s="17"/>
      <c r="AQ49" s="12"/>
      <c r="AR49" s="12"/>
      <c r="AT49" s="17"/>
      <c r="AU49" s="12"/>
      <c r="AV49" s="12"/>
      <c r="AW49" s="17"/>
      <c r="AX49" s="12"/>
      <c r="AY49" s="12"/>
      <c r="BA49" s="12"/>
      <c r="BB49" s="12"/>
      <c r="BC49" s="17"/>
      <c r="BD49" s="12"/>
      <c r="BE49" s="12"/>
      <c r="BG49" s="12"/>
      <c r="BH49" s="12"/>
      <c r="BJ49" s="12"/>
      <c r="BK49" s="12"/>
      <c r="BM49" s="12"/>
      <c r="BN49" s="12"/>
      <c r="BO49" s="17"/>
      <c r="BQ49" s="12"/>
      <c r="BR49" s="12"/>
      <c r="BU49" s="12"/>
      <c r="BV49" s="12"/>
      <c r="BY49" s="12"/>
      <c r="BZ49" s="12"/>
      <c r="CC49" s="12"/>
      <c r="CD49" s="12"/>
      <c r="CE49"/>
      <c r="CG49" s="12"/>
      <c r="CH49" s="12"/>
      <c r="CJ49" s="12"/>
      <c r="CK49" s="12"/>
      <c r="CN49" s="12"/>
      <c r="CO49" s="12"/>
      <c r="CT49"/>
      <c r="CV49" s="12"/>
      <c r="CW49" s="12"/>
      <c r="CX49" s="17"/>
      <c r="CZ49" s="12"/>
      <c r="DA49" s="12"/>
      <c r="DC49" s="12"/>
      <c r="DD49" s="12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X49" s="9"/>
      <c r="EY49" s="9"/>
      <c r="EZ49" s="9"/>
      <c r="FA49" s="15"/>
      <c r="FB49" s="14"/>
      <c r="FC49" s="10"/>
      <c r="FD49" s="10"/>
      <c r="FE49" s="10"/>
      <c r="FF49" s="10"/>
      <c r="FG49" s="10"/>
      <c r="FH49" s="10"/>
    </row>
    <row r="50" spans="2:164" x14ac:dyDescent="0.25">
      <c r="B50"/>
      <c r="C50"/>
      <c r="D50"/>
      <c r="E50"/>
      <c r="F50" s="16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 s="12"/>
      <c r="AK50" s="12"/>
      <c r="AL50" s="17"/>
      <c r="AN50" s="17"/>
      <c r="AP50" s="17"/>
      <c r="AQ50" s="12"/>
      <c r="AR50" s="12"/>
      <c r="AT50" s="17"/>
      <c r="AU50" s="12"/>
      <c r="AV50" s="12"/>
      <c r="AW50" s="17"/>
      <c r="AX50" s="12"/>
      <c r="AY50" s="12"/>
      <c r="BA50" s="12"/>
      <c r="BB50" s="12"/>
      <c r="BD50" s="12"/>
      <c r="BE50" s="12"/>
      <c r="BF50" s="17"/>
      <c r="BG50" s="12"/>
      <c r="BH50" s="12"/>
      <c r="BJ50" s="12"/>
      <c r="BK50" s="12"/>
      <c r="BM50" s="12"/>
      <c r="BN50" s="12"/>
      <c r="BO50" s="17"/>
      <c r="BQ50" s="12"/>
      <c r="BR50" s="12"/>
      <c r="BU50" s="12"/>
      <c r="BV50" s="12"/>
      <c r="BY50" s="12"/>
      <c r="BZ50" s="12"/>
      <c r="CC50" s="12"/>
      <c r="CD50" s="12"/>
      <c r="CE50"/>
      <c r="CG50" s="12"/>
      <c r="CH50" s="12"/>
      <c r="CJ50" s="12"/>
      <c r="CK50" s="12"/>
      <c r="CN50" s="12"/>
      <c r="CO50" s="12"/>
      <c r="CT50"/>
      <c r="CV50" s="12"/>
      <c r="CW50" s="12"/>
      <c r="CZ50" s="12"/>
      <c r="DA50" s="12"/>
      <c r="DC50" s="12"/>
      <c r="DD50" s="12"/>
      <c r="DE50" s="17"/>
      <c r="DF50" s="17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X50" s="9"/>
      <c r="EY50" s="9"/>
      <c r="EZ50" s="9"/>
      <c r="FA50" s="15"/>
      <c r="FB50" s="14"/>
      <c r="FC50" s="10"/>
      <c r="FD50" s="10"/>
      <c r="FE50" s="10"/>
      <c r="FF50" s="10"/>
      <c r="FG50" s="10"/>
      <c r="FH50" s="10"/>
    </row>
    <row r="51" spans="2:164" x14ac:dyDescent="0.25">
      <c r="B51"/>
      <c r="C51"/>
      <c r="D51"/>
      <c r="E51"/>
      <c r="F51" s="16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s="16"/>
      <c r="W51"/>
      <c r="X51"/>
      <c r="Y51"/>
      <c r="Z51"/>
      <c r="AA51"/>
      <c r="AB51"/>
      <c r="AC51"/>
      <c r="AD51"/>
      <c r="AE51"/>
      <c r="AF51"/>
      <c r="AG51"/>
      <c r="AH51"/>
      <c r="AI51"/>
      <c r="AJ51" s="12"/>
      <c r="AK51" s="12"/>
      <c r="AL51" s="17"/>
      <c r="AQ51" s="12"/>
      <c r="AR51" s="12"/>
      <c r="AU51" s="12"/>
      <c r="AV51" s="12"/>
      <c r="AW51" s="17"/>
      <c r="AX51" s="12"/>
      <c r="AY51" s="12"/>
      <c r="BA51" s="12"/>
      <c r="BB51" s="12"/>
      <c r="BD51" s="12"/>
      <c r="BE51" s="12"/>
      <c r="BF51" s="17"/>
      <c r="BG51" s="12"/>
      <c r="BH51" s="12"/>
      <c r="BJ51" s="12"/>
      <c r="BK51" s="12"/>
      <c r="BM51" s="12"/>
      <c r="BN51" s="12"/>
      <c r="BQ51" s="12"/>
      <c r="BR51" s="12"/>
      <c r="BU51" s="12"/>
      <c r="BV51" s="12"/>
      <c r="BY51" s="12"/>
      <c r="BZ51" s="12"/>
      <c r="CC51" s="12"/>
      <c r="CD51" s="12"/>
      <c r="CE51"/>
      <c r="CG51" s="12"/>
      <c r="CH51" s="12"/>
      <c r="CJ51" s="12"/>
      <c r="CK51" s="12"/>
      <c r="CN51" s="12"/>
      <c r="CO51" s="12"/>
      <c r="CT51"/>
      <c r="CV51" s="12"/>
      <c r="CW51" s="12"/>
      <c r="CZ51" s="12"/>
      <c r="DA51" s="12"/>
      <c r="DC51" s="12"/>
      <c r="DD51" s="12"/>
      <c r="DF51" s="17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X51" s="9"/>
      <c r="EY51" s="9"/>
      <c r="EZ51" s="9"/>
      <c r="FA51" s="15"/>
      <c r="FB51" s="14"/>
      <c r="FC51" s="10"/>
      <c r="FD51" s="10"/>
      <c r="FE51" s="10"/>
      <c r="FF51" s="10"/>
      <c r="FG51" s="10"/>
      <c r="FH51" s="10"/>
    </row>
    <row r="52" spans="2:164" x14ac:dyDescent="0.25">
      <c r="B52"/>
      <c r="C52"/>
      <c r="D52"/>
      <c r="E52"/>
      <c r="F52" s="16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s="16"/>
      <c r="W52"/>
      <c r="X52"/>
      <c r="Y52"/>
      <c r="Z52"/>
      <c r="AA52"/>
      <c r="AB52"/>
      <c r="AC52"/>
      <c r="AD52"/>
      <c r="AE52"/>
      <c r="AF52"/>
      <c r="AG52"/>
      <c r="AH52"/>
      <c r="AI52"/>
      <c r="AJ52" s="12"/>
      <c r="AK52" s="12"/>
      <c r="AL52" s="17"/>
      <c r="AN52" s="17"/>
      <c r="AP52" s="17"/>
      <c r="AQ52" s="12"/>
      <c r="AR52" s="12"/>
      <c r="AT52" s="17"/>
      <c r="AU52" s="12"/>
      <c r="AV52" s="12"/>
      <c r="AW52" s="17"/>
      <c r="AX52" s="12"/>
      <c r="AY52" s="12"/>
      <c r="BA52" s="12"/>
      <c r="BB52" s="12"/>
      <c r="BD52" s="12"/>
      <c r="BE52" s="12"/>
      <c r="BF52" s="17"/>
      <c r="BG52" s="12"/>
      <c r="BH52" s="12"/>
      <c r="BJ52" s="12"/>
      <c r="BK52" s="12"/>
      <c r="BM52" s="12"/>
      <c r="BN52" s="12"/>
      <c r="BO52" s="17"/>
      <c r="BQ52" s="12"/>
      <c r="BR52" s="12"/>
      <c r="BU52" s="12"/>
      <c r="BV52" s="12"/>
      <c r="BY52" s="12"/>
      <c r="BZ52" s="12"/>
      <c r="CC52" s="12"/>
      <c r="CD52" s="12"/>
      <c r="CE52"/>
      <c r="CG52" s="12"/>
      <c r="CH52" s="12"/>
      <c r="CJ52" s="12"/>
      <c r="CK52" s="12"/>
      <c r="CN52" s="12"/>
      <c r="CO52" s="12"/>
      <c r="CT52"/>
      <c r="CV52" s="12"/>
      <c r="CW52" s="12"/>
      <c r="CX52" s="17"/>
      <c r="CZ52" s="12"/>
      <c r="DA52" s="12"/>
      <c r="DC52" s="12"/>
      <c r="DD52" s="12"/>
      <c r="DE52" s="17"/>
      <c r="DF52" s="17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X52" s="9"/>
      <c r="EY52" s="9"/>
      <c r="EZ52" s="9"/>
      <c r="FA52" s="15"/>
      <c r="FB52" s="14"/>
      <c r="FC52" s="10"/>
      <c r="FD52" s="10"/>
      <c r="FE52" s="10"/>
      <c r="FF52" s="10"/>
      <c r="FG52" s="10"/>
      <c r="FH52" s="10"/>
    </row>
    <row r="53" spans="2:164" x14ac:dyDescent="0.25">
      <c r="B53"/>
      <c r="C53"/>
      <c r="D53"/>
      <c r="E53"/>
      <c r="F53" s="16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s="16"/>
      <c r="W53"/>
      <c r="X53"/>
      <c r="Y53"/>
      <c r="Z53"/>
      <c r="AA53"/>
      <c r="AB53"/>
      <c r="AC53"/>
      <c r="AD53"/>
      <c r="AE53"/>
      <c r="AF53"/>
      <c r="AG53"/>
      <c r="AH53"/>
      <c r="AI53"/>
      <c r="AJ53" s="12"/>
      <c r="AK53" s="12"/>
      <c r="AL53" s="17"/>
      <c r="AN53" s="17"/>
      <c r="AP53" s="17"/>
      <c r="AQ53" s="12"/>
      <c r="AR53" s="12"/>
      <c r="AT53" s="17"/>
      <c r="AU53" s="12"/>
      <c r="AV53" s="12"/>
      <c r="AW53" s="17"/>
      <c r="AX53" s="12"/>
      <c r="AY53" s="12"/>
      <c r="BA53" s="12"/>
      <c r="BB53" s="12"/>
      <c r="BC53" s="17"/>
      <c r="BD53" s="12"/>
      <c r="BE53" s="12"/>
      <c r="BG53" s="12"/>
      <c r="BH53" s="12"/>
      <c r="BJ53" s="12"/>
      <c r="BK53" s="12"/>
      <c r="BM53" s="12"/>
      <c r="BN53" s="12"/>
      <c r="BO53" s="17"/>
      <c r="BQ53" s="12"/>
      <c r="BR53" s="12"/>
      <c r="BU53" s="12"/>
      <c r="BV53" s="12"/>
      <c r="BY53" s="12"/>
      <c r="BZ53" s="12"/>
      <c r="CC53" s="12"/>
      <c r="CD53" s="12"/>
      <c r="CE53"/>
      <c r="CG53" s="12"/>
      <c r="CH53" s="12"/>
      <c r="CJ53" s="12"/>
      <c r="CK53" s="12"/>
      <c r="CN53" s="12"/>
      <c r="CO53" s="12"/>
      <c r="CT53"/>
      <c r="CV53" s="12"/>
      <c r="CW53" s="12"/>
      <c r="CZ53" s="12"/>
      <c r="DA53" s="12"/>
      <c r="DC53" s="12"/>
      <c r="DD53" s="12"/>
      <c r="DF53" s="17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X53" s="9"/>
      <c r="EY53" s="9"/>
      <c r="EZ53" s="9"/>
      <c r="FA53" s="15"/>
      <c r="FB53" s="14"/>
      <c r="FC53" s="10"/>
      <c r="FD53" s="10"/>
      <c r="FE53" s="10"/>
      <c r="FF53" s="10"/>
      <c r="FG53" s="10"/>
      <c r="FH53" s="10"/>
    </row>
    <row r="54" spans="2:164" x14ac:dyDescent="0.25">
      <c r="B54"/>
      <c r="C54"/>
      <c r="D54"/>
      <c r="E54"/>
      <c r="F54" s="16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s="16"/>
      <c r="W54"/>
      <c r="X54"/>
      <c r="Y54"/>
      <c r="Z54"/>
      <c r="AA54"/>
      <c r="AB54"/>
      <c r="AC54"/>
      <c r="AD54"/>
      <c r="AE54"/>
      <c r="AF54"/>
      <c r="AG54"/>
      <c r="AH54"/>
      <c r="AI54"/>
      <c r="AJ54" s="12"/>
      <c r="AK54" s="12"/>
      <c r="AL54" s="17"/>
      <c r="AP54" s="17"/>
      <c r="AQ54" s="12"/>
      <c r="AR54" s="12"/>
      <c r="AT54" s="17"/>
      <c r="AU54" s="12"/>
      <c r="AV54" s="12"/>
      <c r="AW54" s="17"/>
      <c r="AX54" s="12"/>
      <c r="AY54" s="12"/>
      <c r="BA54" s="12"/>
      <c r="BB54" s="12"/>
      <c r="BC54" s="17"/>
      <c r="BD54" s="12"/>
      <c r="BE54" s="12"/>
      <c r="BG54" s="12"/>
      <c r="BH54" s="12"/>
      <c r="BJ54" s="12"/>
      <c r="BK54" s="12"/>
      <c r="BM54" s="12"/>
      <c r="BN54" s="12"/>
      <c r="BQ54" s="12"/>
      <c r="BR54" s="12"/>
      <c r="BU54" s="12"/>
      <c r="BV54" s="12"/>
      <c r="BY54" s="12"/>
      <c r="BZ54" s="12"/>
      <c r="CC54" s="12"/>
      <c r="CD54" s="12"/>
      <c r="CE54"/>
      <c r="CG54" s="12"/>
      <c r="CH54" s="12"/>
      <c r="CJ54" s="12"/>
      <c r="CK54" s="12"/>
      <c r="CN54" s="12"/>
      <c r="CO54" s="12"/>
      <c r="CT54"/>
      <c r="CV54" s="12"/>
      <c r="CW54" s="12"/>
      <c r="CX54" s="17"/>
      <c r="CZ54" s="12"/>
      <c r="DA54" s="12"/>
      <c r="DC54" s="12"/>
      <c r="DD54" s="12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X54" s="9"/>
      <c r="EY54" s="9"/>
      <c r="EZ54" s="9"/>
      <c r="FA54" s="15"/>
      <c r="FB54" s="14"/>
      <c r="FC54" s="10"/>
      <c r="FD54" s="10"/>
      <c r="FE54" s="10"/>
      <c r="FF54" s="10"/>
      <c r="FG54" s="10"/>
      <c r="FH54" s="10"/>
    </row>
    <row r="55" spans="2:164" x14ac:dyDescent="0.25">
      <c r="B55"/>
      <c r="C55"/>
      <c r="D55"/>
      <c r="E55"/>
      <c r="F55" s="16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16"/>
      <c r="W55"/>
      <c r="X55"/>
      <c r="Y55"/>
      <c r="Z55"/>
      <c r="AA55"/>
      <c r="AB55"/>
      <c r="AC55"/>
      <c r="AD55"/>
      <c r="AE55"/>
      <c r="AF55"/>
      <c r="AG55"/>
      <c r="AH55"/>
      <c r="AI55"/>
      <c r="AJ55" s="12"/>
      <c r="AK55" s="12"/>
      <c r="AL55" s="17"/>
      <c r="AQ55" s="12"/>
      <c r="AR55" s="12"/>
      <c r="AU55" s="12"/>
      <c r="AV55" s="12"/>
      <c r="AW55" s="17"/>
      <c r="AX55" s="12"/>
      <c r="AY55" s="12"/>
      <c r="BA55" s="12"/>
      <c r="BB55" s="12"/>
      <c r="BD55" s="12"/>
      <c r="BE55" s="12"/>
      <c r="BF55" s="17"/>
      <c r="BG55" s="12"/>
      <c r="BH55" s="12"/>
      <c r="BJ55" s="12"/>
      <c r="BK55" s="12"/>
      <c r="BM55" s="12"/>
      <c r="BN55" s="12"/>
      <c r="BQ55" s="12"/>
      <c r="BR55" s="12"/>
      <c r="BU55" s="12"/>
      <c r="BV55" s="12"/>
      <c r="BY55" s="12"/>
      <c r="BZ55" s="12"/>
      <c r="CC55" s="12"/>
      <c r="CD55" s="12"/>
      <c r="CE55"/>
      <c r="CG55" s="12"/>
      <c r="CH55" s="12"/>
      <c r="CJ55" s="12"/>
      <c r="CK55" s="12"/>
      <c r="CN55" s="12"/>
      <c r="CO55" s="12"/>
      <c r="CT55"/>
      <c r="CV55" s="12"/>
      <c r="CW55" s="12"/>
      <c r="CZ55" s="12"/>
      <c r="DA55" s="12"/>
      <c r="DC55" s="12"/>
      <c r="DD55" s="12"/>
      <c r="DF55" s="17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X55" s="9"/>
      <c r="EY55" s="9"/>
      <c r="EZ55" s="9"/>
      <c r="FA55" s="15"/>
      <c r="FB55" s="14"/>
      <c r="FC55" s="10"/>
      <c r="FD55" s="10"/>
      <c r="FE55" s="10"/>
      <c r="FF55" s="10"/>
      <c r="FG55" s="10"/>
      <c r="FH55" s="10"/>
    </row>
    <row r="56" spans="2:164" x14ac:dyDescent="0.25">
      <c r="B56"/>
      <c r="C56"/>
      <c r="D56"/>
      <c r="E56"/>
      <c r="F56" s="1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 s="16"/>
      <c r="W56"/>
      <c r="X56"/>
      <c r="Y56"/>
      <c r="Z56"/>
      <c r="AA56"/>
      <c r="AB56"/>
      <c r="AC56"/>
      <c r="AD56"/>
      <c r="AE56"/>
      <c r="AF56"/>
      <c r="AG56"/>
      <c r="AH56"/>
      <c r="AI56"/>
      <c r="AJ56" s="12"/>
      <c r="AK56" s="12"/>
      <c r="AL56" s="17"/>
      <c r="AP56" s="17"/>
      <c r="AQ56" s="12"/>
      <c r="AR56" s="12"/>
      <c r="AT56" s="17"/>
      <c r="AU56" s="12"/>
      <c r="AV56" s="12"/>
      <c r="AW56" s="17"/>
      <c r="AX56" s="12"/>
      <c r="AY56" s="12"/>
      <c r="BA56" s="12"/>
      <c r="BB56" s="12"/>
      <c r="BC56" s="17"/>
      <c r="BD56" s="12"/>
      <c r="BE56" s="12"/>
      <c r="BG56" s="12"/>
      <c r="BH56" s="12"/>
      <c r="BJ56" s="12"/>
      <c r="BK56" s="12"/>
      <c r="BM56" s="12"/>
      <c r="BN56" s="12"/>
      <c r="BO56" s="17"/>
      <c r="BQ56" s="12"/>
      <c r="BR56" s="12"/>
      <c r="BU56" s="12"/>
      <c r="BV56" s="12"/>
      <c r="BY56" s="12"/>
      <c r="BZ56" s="12"/>
      <c r="CC56" s="12"/>
      <c r="CD56" s="12"/>
      <c r="CE56"/>
      <c r="CG56" s="12"/>
      <c r="CH56" s="12"/>
      <c r="CJ56" s="12"/>
      <c r="CK56" s="12"/>
      <c r="CN56" s="12"/>
      <c r="CO56" s="12"/>
      <c r="CT56"/>
      <c r="CV56" s="12"/>
      <c r="CW56" s="12"/>
      <c r="CX56" s="17"/>
      <c r="CZ56" s="12"/>
      <c r="DA56" s="12"/>
      <c r="DC56" s="12"/>
      <c r="DD56" s="12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X56" s="9"/>
      <c r="EY56" s="9"/>
      <c r="EZ56" s="9"/>
      <c r="FA56" s="15"/>
      <c r="FB56" s="14"/>
      <c r="FC56" s="10"/>
      <c r="FD56" s="10"/>
      <c r="FE56" s="10"/>
      <c r="FF56" s="10"/>
      <c r="FG56" s="10"/>
      <c r="FH56" s="10"/>
    </row>
    <row r="57" spans="2:164" x14ac:dyDescent="0.25">
      <c r="B57"/>
      <c r="C57"/>
      <c r="D57"/>
      <c r="E57"/>
      <c r="F57" s="16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 s="16"/>
      <c r="W57"/>
      <c r="X57"/>
      <c r="Y57"/>
      <c r="Z57"/>
      <c r="AA57"/>
      <c r="AB57"/>
      <c r="AC57"/>
      <c r="AD57"/>
      <c r="AE57"/>
      <c r="AF57"/>
      <c r="AG57"/>
      <c r="AH57"/>
      <c r="AI57"/>
      <c r="AJ57" s="12"/>
      <c r="AK57" s="12"/>
      <c r="AL57" s="17"/>
      <c r="AN57" s="17"/>
      <c r="AP57" s="17"/>
      <c r="AQ57" s="12"/>
      <c r="AR57" s="12"/>
      <c r="AT57" s="17"/>
      <c r="AU57" s="12"/>
      <c r="AV57" s="12"/>
      <c r="AW57" s="17"/>
      <c r="AX57" s="12"/>
      <c r="AY57" s="12"/>
      <c r="BA57" s="12"/>
      <c r="BB57" s="12"/>
      <c r="BD57" s="12"/>
      <c r="BE57" s="12"/>
      <c r="BF57" s="17"/>
      <c r="BG57" s="12"/>
      <c r="BH57" s="12"/>
      <c r="BJ57" s="12"/>
      <c r="BK57" s="12"/>
      <c r="BM57" s="12"/>
      <c r="BN57" s="12"/>
      <c r="BO57" s="17"/>
      <c r="BQ57" s="12"/>
      <c r="BR57" s="12"/>
      <c r="BU57" s="12"/>
      <c r="BV57" s="12"/>
      <c r="BY57" s="12"/>
      <c r="BZ57" s="12"/>
      <c r="CC57" s="12"/>
      <c r="CD57" s="12"/>
      <c r="CE57"/>
      <c r="CG57" s="12"/>
      <c r="CH57" s="12"/>
      <c r="CJ57" s="12"/>
      <c r="CK57" s="12"/>
      <c r="CN57" s="12"/>
      <c r="CO57" s="12"/>
      <c r="CT57"/>
      <c r="CV57" s="12"/>
      <c r="CW57" s="12"/>
      <c r="CX57" s="17"/>
      <c r="CZ57" s="12"/>
      <c r="DA57" s="12"/>
      <c r="DC57" s="12"/>
      <c r="DD57" s="12"/>
      <c r="DE57" s="17"/>
      <c r="DF57" s="1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X57" s="9"/>
      <c r="EY57" s="9"/>
      <c r="EZ57" s="9"/>
      <c r="FA57" s="15"/>
      <c r="FB57" s="14"/>
      <c r="FC57" s="10"/>
      <c r="FD57" s="10"/>
      <c r="FE57" s="10"/>
      <c r="FF57" s="10"/>
      <c r="FG57" s="10"/>
      <c r="FH57" s="10"/>
    </row>
    <row r="58" spans="2:164" x14ac:dyDescent="0.25">
      <c r="B58"/>
      <c r="C58"/>
      <c r="D58"/>
      <c r="E58"/>
      <c r="F58" s="16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s="16"/>
      <c r="W58"/>
      <c r="X58"/>
      <c r="Y58"/>
      <c r="Z58"/>
      <c r="AA58"/>
      <c r="AB58"/>
      <c r="AC58"/>
      <c r="AD58"/>
      <c r="AE58"/>
      <c r="AF58"/>
      <c r="AG58"/>
      <c r="AH58"/>
      <c r="AI58"/>
      <c r="AJ58" s="12"/>
      <c r="AK58" s="12"/>
      <c r="AL58" s="17"/>
      <c r="AN58" s="17"/>
      <c r="AP58" s="17"/>
      <c r="AQ58" s="12"/>
      <c r="AR58" s="12"/>
      <c r="AT58" s="17"/>
      <c r="AU58" s="12"/>
      <c r="AV58" s="12"/>
      <c r="AW58" s="17"/>
      <c r="AX58" s="12"/>
      <c r="AY58" s="12"/>
      <c r="BA58" s="12"/>
      <c r="BB58" s="12"/>
      <c r="BD58" s="12"/>
      <c r="BE58" s="12"/>
      <c r="BF58" s="17"/>
      <c r="BG58" s="12"/>
      <c r="BH58" s="12"/>
      <c r="BJ58" s="12"/>
      <c r="BK58" s="12"/>
      <c r="BM58" s="12"/>
      <c r="BN58" s="12"/>
      <c r="BO58" s="17"/>
      <c r="BQ58" s="12"/>
      <c r="BR58" s="12"/>
      <c r="BU58" s="12"/>
      <c r="BV58" s="12"/>
      <c r="BY58" s="12"/>
      <c r="BZ58" s="12"/>
      <c r="CC58" s="12"/>
      <c r="CD58" s="12"/>
      <c r="CE58"/>
      <c r="CG58" s="12"/>
      <c r="CH58" s="12"/>
      <c r="CJ58" s="12"/>
      <c r="CK58" s="12"/>
      <c r="CN58" s="12"/>
      <c r="CO58" s="12"/>
      <c r="CT58"/>
      <c r="CV58" s="12"/>
      <c r="CW58" s="12"/>
      <c r="CZ58" s="12"/>
      <c r="DA58" s="12"/>
      <c r="DC58" s="12"/>
      <c r="DD58" s="12"/>
      <c r="DF58" s="17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X58" s="9"/>
      <c r="EY58" s="9"/>
      <c r="EZ58" s="9"/>
      <c r="FA58" s="15"/>
      <c r="FB58" s="14"/>
      <c r="FC58" s="10"/>
      <c r="FD58" s="10"/>
      <c r="FE58" s="10"/>
      <c r="FF58" s="10"/>
      <c r="FG58" s="10"/>
      <c r="FH58" s="10"/>
    </row>
    <row r="59" spans="2:164" x14ac:dyDescent="0.25">
      <c r="B59"/>
      <c r="C59"/>
      <c r="D59"/>
      <c r="E59"/>
      <c r="F59" s="16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 s="16"/>
      <c r="W59"/>
      <c r="X59"/>
      <c r="Y59"/>
      <c r="Z59"/>
      <c r="AA59"/>
      <c r="AB59"/>
      <c r="AC59"/>
      <c r="AD59"/>
      <c r="AE59"/>
      <c r="AF59"/>
      <c r="AG59"/>
      <c r="AH59"/>
      <c r="AI59"/>
      <c r="AJ59" s="12"/>
      <c r="AK59" s="12"/>
      <c r="AL59" s="17"/>
      <c r="AQ59" s="12"/>
      <c r="AR59" s="12"/>
      <c r="AU59" s="12"/>
      <c r="AV59" s="12"/>
      <c r="AW59" s="17"/>
      <c r="AX59" s="12"/>
      <c r="AY59" s="12"/>
      <c r="BA59" s="12"/>
      <c r="BB59" s="12"/>
      <c r="BD59" s="12"/>
      <c r="BE59" s="12"/>
      <c r="BF59" s="17"/>
      <c r="BG59" s="12"/>
      <c r="BH59" s="12"/>
      <c r="BJ59" s="12"/>
      <c r="BK59" s="12"/>
      <c r="BM59" s="12"/>
      <c r="BN59" s="12"/>
      <c r="BQ59" s="12"/>
      <c r="BR59" s="12"/>
      <c r="BU59" s="12"/>
      <c r="BV59" s="12"/>
      <c r="BY59" s="12"/>
      <c r="BZ59" s="12"/>
      <c r="CC59" s="12"/>
      <c r="CD59" s="12"/>
      <c r="CE59"/>
      <c r="CG59" s="12"/>
      <c r="CH59" s="12"/>
      <c r="CJ59" s="12"/>
      <c r="CK59" s="12"/>
      <c r="CN59" s="12"/>
      <c r="CO59" s="12"/>
      <c r="CT59"/>
      <c r="CV59" s="12"/>
      <c r="CW59" s="12"/>
      <c r="CZ59" s="12"/>
      <c r="DA59" s="12"/>
      <c r="DC59" s="12"/>
      <c r="DD59" s="12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X59" s="9"/>
      <c r="EY59" s="9"/>
      <c r="EZ59" s="9"/>
      <c r="FA59" s="15"/>
      <c r="FB59" s="14"/>
      <c r="FC59" s="10"/>
      <c r="FD59" s="10"/>
      <c r="FE59" s="10"/>
      <c r="FF59" s="10"/>
      <c r="FG59" s="10"/>
      <c r="FH59" s="10"/>
    </row>
    <row r="60" spans="2:164" x14ac:dyDescent="0.25">
      <c r="B60"/>
      <c r="C60"/>
      <c r="D60"/>
      <c r="E60"/>
      <c r="F60" s="16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 s="16"/>
      <c r="W60"/>
      <c r="X60"/>
      <c r="Y60"/>
      <c r="Z60"/>
      <c r="AA60"/>
      <c r="AB60"/>
      <c r="AC60"/>
      <c r="AD60"/>
      <c r="AE60"/>
      <c r="AF60"/>
      <c r="AG60"/>
      <c r="AH60"/>
      <c r="AI60"/>
      <c r="AJ60" s="12"/>
      <c r="AK60" s="12"/>
      <c r="AL60" s="17"/>
      <c r="AP60" s="17"/>
      <c r="AQ60" s="12"/>
      <c r="AR60" s="12"/>
      <c r="AT60" s="17"/>
      <c r="AU60" s="12"/>
      <c r="AV60" s="12"/>
      <c r="AW60" s="17"/>
      <c r="AX60" s="12"/>
      <c r="AY60" s="12"/>
      <c r="BA60" s="12"/>
      <c r="BB60" s="12"/>
      <c r="BC60" s="17"/>
      <c r="BD60" s="12"/>
      <c r="BE60" s="12"/>
      <c r="BG60" s="12"/>
      <c r="BH60" s="12"/>
      <c r="BJ60" s="12"/>
      <c r="BK60" s="12"/>
      <c r="BM60" s="12"/>
      <c r="BN60" s="12"/>
      <c r="BQ60" s="12"/>
      <c r="BR60" s="12"/>
      <c r="BU60" s="12"/>
      <c r="BV60" s="12"/>
      <c r="BY60" s="12"/>
      <c r="BZ60" s="12"/>
      <c r="CC60" s="12"/>
      <c r="CD60" s="12"/>
      <c r="CE60"/>
      <c r="CG60" s="12"/>
      <c r="CH60" s="12"/>
      <c r="CJ60" s="12"/>
      <c r="CK60" s="12"/>
      <c r="CN60" s="12"/>
      <c r="CO60" s="12"/>
      <c r="CT60"/>
      <c r="CV60" s="12"/>
      <c r="CW60" s="12"/>
      <c r="CZ60" s="12"/>
      <c r="DA60" s="12"/>
      <c r="DC60" s="12"/>
      <c r="DD60" s="12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X60" s="9"/>
      <c r="EY60" s="9"/>
      <c r="EZ60" s="9"/>
      <c r="FA60" s="15"/>
      <c r="FB60" s="14"/>
      <c r="FC60" s="10"/>
      <c r="FD60" s="10"/>
      <c r="FE60" s="10"/>
      <c r="FF60" s="10"/>
      <c r="FG60" s="10"/>
      <c r="FH60" s="10"/>
    </row>
    <row r="61" spans="2:164" x14ac:dyDescent="0.25">
      <c r="B61"/>
      <c r="C61"/>
      <c r="D61"/>
      <c r="E61"/>
      <c r="F61" s="16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 s="16"/>
      <c r="W61"/>
      <c r="X61"/>
      <c r="Y61"/>
      <c r="Z61"/>
      <c r="AA61"/>
      <c r="AB61"/>
      <c r="AC61"/>
      <c r="AD61"/>
      <c r="AE61"/>
      <c r="AF61"/>
      <c r="AG61"/>
      <c r="AH61"/>
      <c r="AI61"/>
      <c r="AJ61" s="12"/>
      <c r="AK61" s="12"/>
      <c r="AL61" s="17"/>
      <c r="AN61" s="17"/>
      <c r="AP61" s="17"/>
      <c r="AQ61" s="12"/>
      <c r="AR61" s="12"/>
      <c r="AT61" s="17"/>
      <c r="AU61" s="12"/>
      <c r="AV61" s="12"/>
      <c r="AW61" s="17"/>
      <c r="AX61" s="12"/>
      <c r="AY61" s="12"/>
      <c r="BA61" s="12"/>
      <c r="BB61" s="12"/>
      <c r="BD61" s="12"/>
      <c r="BE61" s="12"/>
      <c r="BF61" s="17"/>
      <c r="BG61" s="12"/>
      <c r="BH61" s="12"/>
      <c r="BJ61" s="12"/>
      <c r="BK61" s="12"/>
      <c r="BM61" s="12"/>
      <c r="BN61" s="12"/>
      <c r="BO61" s="17"/>
      <c r="BQ61" s="12"/>
      <c r="BR61" s="12"/>
      <c r="BU61" s="12"/>
      <c r="BV61" s="12"/>
      <c r="BY61" s="12"/>
      <c r="BZ61" s="12"/>
      <c r="CC61" s="12"/>
      <c r="CD61" s="12"/>
      <c r="CE61"/>
      <c r="CG61" s="12"/>
      <c r="CH61" s="12"/>
      <c r="CJ61" s="12"/>
      <c r="CK61" s="12"/>
      <c r="CN61" s="12"/>
      <c r="CO61" s="12"/>
      <c r="CT61"/>
      <c r="CV61" s="12"/>
      <c r="CW61" s="12"/>
      <c r="CZ61" s="12"/>
      <c r="DA61" s="12"/>
      <c r="DC61" s="12"/>
      <c r="DD61" s="12"/>
      <c r="DE61" s="17"/>
      <c r="DF61" s="17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X61" s="9"/>
      <c r="EY61" s="9"/>
      <c r="EZ61" s="9"/>
      <c r="FA61" s="15"/>
      <c r="FB61" s="14"/>
      <c r="FC61" s="10"/>
      <c r="FD61" s="10"/>
      <c r="FE61" s="10"/>
      <c r="FF61" s="10"/>
      <c r="FG61" s="10"/>
      <c r="FH61" s="10"/>
    </row>
    <row r="62" spans="2:164" x14ac:dyDescent="0.25">
      <c r="B62"/>
      <c r="C62"/>
      <c r="D62"/>
      <c r="E62"/>
      <c r="F62" s="16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 s="16"/>
      <c r="W62"/>
      <c r="X62"/>
      <c r="Y62"/>
      <c r="Z62"/>
      <c r="AA62"/>
      <c r="AB62"/>
      <c r="AC62"/>
      <c r="AD62"/>
      <c r="AE62"/>
      <c r="AF62"/>
      <c r="AG62"/>
      <c r="AH62"/>
      <c r="AI62"/>
      <c r="AJ62" s="12"/>
      <c r="AK62" s="12"/>
      <c r="AL62" s="17"/>
      <c r="AN62" s="17"/>
      <c r="AP62" s="17"/>
      <c r="AQ62" s="12"/>
      <c r="AR62" s="12"/>
      <c r="AT62" s="17"/>
      <c r="AU62" s="12"/>
      <c r="AV62" s="12"/>
      <c r="AW62" s="17"/>
      <c r="AX62" s="12"/>
      <c r="AY62" s="12"/>
      <c r="BA62" s="12"/>
      <c r="BB62" s="12"/>
      <c r="BD62" s="12"/>
      <c r="BE62" s="12"/>
      <c r="BF62" s="17"/>
      <c r="BG62" s="12"/>
      <c r="BH62" s="12"/>
      <c r="BJ62" s="12"/>
      <c r="BK62" s="12"/>
      <c r="BM62" s="12"/>
      <c r="BN62" s="12"/>
      <c r="BO62" s="17"/>
      <c r="BQ62" s="12"/>
      <c r="BR62" s="12"/>
      <c r="BU62" s="12"/>
      <c r="BV62" s="12"/>
      <c r="BY62" s="12"/>
      <c r="BZ62" s="12"/>
      <c r="CC62" s="12"/>
      <c r="CD62" s="12"/>
      <c r="CE62"/>
      <c r="CG62" s="12"/>
      <c r="CH62" s="12"/>
      <c r="CJ62" s="12"/>
      <c r="CK62" s="12"/>
      <c r="CN62" s="12"/>
      <c r="CO62" s="12"/>
      <c r="CT62"/>
      <c r="CV62" s="12"/>
      <c r="CW62" s="12"/>
      <c r="CZ62" s="12"/>
      <c r="DA62" s="12"/>
      <c r="DC62" s="12"/>
      <c r="DD62" s="12"/>
      <c r="DF62" s="17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X62" s="9"/>
      <c r="EY62" s="9"/>
      <c r="EZ62" s="9"/>
      <c r="FA62" s="15"/>
      <c r="FB62" s="14"/>
      <c r="FC62" s="10"/>
      <c r="FD62" s="10"/>
      <c r="FE62" s="10"/>
      <c r="FF62" s="10"/>
      <c r="FG62" s="10"/>
      <c r="FH62" s="10"/>
    </row>
    <row r="63" spans="2:164" x14ac:dyDescent="0.25">
      <c r="B63"/>
      <c r="C63"/>
      <c r="D63"/>
      <c r="E63"/>
      <c r="F63" s="16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 s="16"/>
      <c r="W63"/>
      <c r="X63"/>
      <c r="Y63"/>
      <c r="Z63"/>
      <c r="AA63"/>
      <c r="AB63"/>
      <c r="AC63"/>
      <c r="AD63"/>
      <c r="AE63"/>
      <c r="AF63"/>
      <c r="AG63"/>
      <c r="AH63"/>
      <c r="AI63"/>
      <c r="AJ63" s="12"/>
      <c r="AK63" s="12"/>
      <c r="AL63" s="17"/>
      <c r="AQ63" s="12"/>
      <c r="AR63" s="12"/>
      <c r="AU63" s="12"/>
      <c r="AV63" s="12"/>
      <c r="AW63" s="17"/>
      <c r="AX63" s="12"/>
      <c r="AY63" s="12"/>
      <c r="BA63" s="12"/>
      <c r="BB63" s="12"/>
      <c r="BD63" s="12"/>
      <c r="BE63" s="12"/>
      <c r="BF63" s="17"/>
      <c r="BG63" s="12"/>
      <c r="BH63" s="12"/>
      <c r="BJ63" s="12"/>
      <c r="BK63" s="12"/>
      <c r="BM63" s="12"/>
      <c r="BN63" s="12"/>
      <c r="BQ63" s="12"/>
      <c r="BR63" s="12"/>
      <c r="BU63" s="12"/>
      <c r="BV63" s="12"/>
      <c r="BY63" s="12"/>
      <c r="BZ63" s="12"/>
      <c r="CC63" s="12"/>
      <c r="CD63" s="12"/>
      <c r="CE63"/>
      <c r="CG63" s="12"/>
      <c r="CH63" s="12"/>
      <c r="CJ63" s="12"/>
      <c r="CK63" s="12"/>
      <c r="CN63" s="12"/>
      <c r="CO63" s="12"/>
      <c r="CT63"/>
      <c r="CV63" s="12"/>
      <c r="CW63" s="12"/>
      <c r="CZ63" s="12"/>
      <c r="DA63" s="12"/>
      <c r="DC63" s="12"/>
      <c r="DD63" s="12"/>
      <c r="DF63" s="17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X63" s="9"/>
      <c r="EY63" s="9"/>
      <c r="EZ63" s="9"/>
      <c r="FA63" s="15"/>
      <c r="FB63" s="14"/>
      <c r="FC63" s="10"/>
      <c r="FD63" s="10"/>
      <c r="FE63" s="10"/>
      <c r="FF63" s="10"/>
      <c r="FG63" s="10"/>
      <c r="FH63" s="10"/>
    </row>
    <row r="64" spans="2:164" x14ac:dyDescent="0.25">
      <c r="B64"/>
      <c r="C64"/>
      <c r="D64"/>
      <c r="E64"/>
      <c r="F64" s="16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 s="16"/>
      <c r="W64"/>
      <c r="X64"/>
      <c r="Y64"/>
      <c r="Z64"/>
      <c r="AA64"/>
      <c r="AB64"/>
      <c r="AC64"/>
      <c r="AD64"/>
      <c r="AE64"/>
      <c r="AF64"/>
      <c r="AG64"/>
      <c r="AH64"/>
      <c r="AI64"/>
      <c r="AJ64" s="12"/>
      <c r="AK64" s="12"/>
      <c r="AL64" s="17"/>
      <c r="AN64" s="17"/>
      <c r="AP64" s="17"/>
      <c r="AQ64" s="12"/>
      <c r="AR64" s="12"/>
      <c r="AT64" s="17"/>
      <c r="AU64" s="12"/>
      <c r="AV64" s="12"/>
      <c r="AW64" s="17"/>
      <c r="AX64" s="12"/>
      <c r="AY64" s="12"/>
      <c r="BA64" s="12"/>
      <c r="BB64" s="12"/>
      <c r="BD64" s="12"/>
      <c r="BE64" s="12"/>
      <c r="BF64" s="17"/>
      <c r="BG64" s="12"/>
      <c r="BH64" s="12"/>
      <c r="BJ64" s="12"/>
      <c r="BK64" s="12"/>
      <c r="BM64" s="12"/>
      <c r="BN64" s="12"/>
      <c r="BO64" s="17"/>
      <c r="BQ64" s="12"/>
      <c r="BR64" s="12"/>
      <c r="BU64" s="12"/>
      <c r="BV64" s="12"/>
      <c r="BY64" s="12"/>
      <c r="BZ64" s="12"/>
      <c r="CC64" s="12"/>
      <c r="CD64" s="12"/>
      <c r="CE64"/>
      <c r="CG64" s="12"/>
      <c r="CH64" s="12"/>
      <c r="CJ64" s="12"/>
      <c r="CK64" s="12"/>
      <c r="CN64" s="12"/>
      <c r="CO64" s="12"/>
      <c r="CT64"/>
      <c r="CV64" s="12"/>
      <c r="CW64" s="12"/>
      <c r="CZ64" s="12"/>
      <c r="DA64" s="12"/>
      <c r="DC64" s="12"/>
      <c r="DD64" s="12"/>
      <c r="DF64" s="17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X64" s="9"/>
      <c r="EY64" s="9"/>
      <c r="EZ64" s="9"/>
      <c r="FA64" s="15"/>
      <c r="FB64" s="14"/>
      <c r="FC64" s="10"/>
      <c r="FD64" s="10"/>
      <c r="FE64" s="10"/>
      <c r="FF64" s="10"/>
      <c r="FG64" s="10"/>
      <c r="FH64" s="10"/>
    </row>
    <row r="65" spans="2:164" x14ac:dyDescent="0.25">
      <c r="B65"/>
      <c r="C65"/>
      <c r="D65"/>
      <c r="E65"/>
      <c r="F65" s="16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 s="16"/>
      <c r="W65"/>
      <c r="X65"/>
      <c r="Y65"/>
      <c r="Z65"/>
      <c r="AA65"/>
      <c r="AB65"/>
      <c r="AC65"/>
      <c r="AD65"/>
      <c r="AE65"/>
      <c r="AF65"/>
      <c r="AG65"/>
      <c r="AH65"/>
      <c r="AI65"/>
      <c r="AJ65" s="12"/>
      <c r="AK65" s="12"/>
      <c r="AL65" s="17"/>
      <c r="AN65" s="17"/>
      <c r="AP65" s="17"/>
      <c r="AQ65" s="12"/>
      <c r="AR65" s="12"/>
      <c r="AT65" s="17"/>
      <c r="AU65" s="12"/>
      <c r="AV65" s="12"/>
      <c r="AW65" s="17"/>
      <c r="AX65" s="12"/>
      <c r="AY65" s="12"/>
      <c r="BA65" s="12"/>
      <c r="BB65" s="12"/>
      <c r="BD65" s="12"/>
      <c r="BE65" s="12"/>
      <c r="BF65" s="17"/>
      <c r="BG65" s="12"/>
      <c r="BH65" s="12"/>
      <c r="BJ65" s="12"/>
      <c r="BK65" s="12"/>
      <c r="BM65" s="12"/>
      <c r="BN65" s="12"/>
      <c r="BO65" s="17"/>
      <c r="BQ65" s="12"/>
      <c r="BR65" s="12"/>
      <c r="BU65" s="12"/>
      <c r="BV65" s="12"/>
      <c r="BY65" s="12"/>
      <c r="BZ65" s="12"/>
      <c r="CC65" s="12"/>
      <c r="CD65" s="12"/>
      <c r="CE65"/>
      <c r="CG65" s="12"/>
      <c r="CH65" s="12"/>
      <c r="CJ65" s="12"/>
      <c r="CK65" s="12"/>
      <c r="CN65" s="12"/>
      <c r="CO65" s="12"/>
      <c r="CT65"/>
      <c r="CV65" s="12"/>
      <c r="CW65" s="12"/>
      <c r="CZ65" s="12"/>
      <c r="DA65" s="12"/>
      <c r="DC65" s="12"/>
      <c r="DD65" s="12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X65" s="9"/>
      <c r="EY65" s="9"/>
      <c r="EZ65" s="9"/>
      <c r="FA65" s="15"/>
      <c r="FB65" s="14"/>
      <c r="FC65" s="10"/>
      <c r="FD65" s="10"/>
      <c r="FE65" s="10"/>
      <c r="FF65" s="10"/>
      <c r="FG65" s="10"/>
      <c r="FH65" s="10"/>
    </row>
    <row r="66" spans="2:164" x14ac:dyDescent="0.25">
      <c r="B66"/>
      <c r="C66"/>
      <c r="D66"/>
      <c r="E66"/>
      <c r="F66" s="1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 s="16"/>
      <c r="W66"/>
      <c r="X66"/>
      <c r="Y66"/>
      <c r="Z66"/>
      <c r="AA66"/>
      <c r="AB66"/>
      <c r="AC66"/>
      <c r="AD66"/>
      <c r="AE66"/>
      <c r="AF66"/>
      <c r="AG66"/>
      <c r="AH66"/>
      <c r="AI66"/>
      <c r="AJ66" s="12"/>
      <c r="AK66" s="12"/>
      <c r="AL66" s="17"/>
      <c r="AP66" s="17"/>
      <c r="AQ66" s="12"/>
      <c r="AR66" s="12"/>
      <c r="AT66" s="17"/>
      <c r="AU66" s="12"/>
      <c r="AV66" s="12"/>
      <c r="AW66" s="17"/>
      <c r="AX66" s="12"/>
      <c r="AY66" s="12"/>
      <c r="BA66" s="12"/>
      <c r="BB66" s="12"/>
      <c r="BC66" s="17"/>
      <c r="BD66" s="12"/>
      <c r="BE66" s="12"/>
      <c r="BG66" s="12"/>
      <c r="BH66" s="12"/>
      <c r="BJ66" s="12"/>
      <c r="BK66" s="12"/>
      <c r="BM66" s="12"/>
      <c r="BN66" s="12"/>
      <c r="BQ66" s="12"/>
      <c r="BR66" s="12"/>
      <c r="BU66" s="12"/>
      <c r="BV66" s="12"/>
      <c r="BY66" s="12"/>
      <c r="BZ66" s="12"/>
      <c r="CC66" s="12"/>
      <c r="CD66" s="12"/>
      <c r="CE66"/>
      <c r="CG66" s="12"/>
      <c r="CH66" s="12"/>
      <c r="CJ66" s="12"/>
      <c r="CK66" s="12"/>
      <c r="CN66" s="12"/>
      <c r="CO66" s="12"/>
      <c r="CT66"/>
      <c r="CV66" s="12"/>
      <c r="CW66" s="12"/>
      <c r="CX66" s="17"/>
      <c r="CZ66" s="12"/>
      <c r="DA66" s="12"/>
      <c r="DC66" s="12"/>
      <c r="DD66" s="12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X66" s="9"/>
      <c r="EY66" s="9"/>
      <c r="EZ66" s="9"/>
      <c r="FA66" s="15"/>
      <c r="FB66" s="14"/>
      <c r="FC66" s="10"/>
      <c r="FD66" s="10"/>
      <c r="FE66" s="10"/>
      <c r="FF66" s="10"/>
      <c r="FG66" s="10"/>
      <c r="FH66" s="10"/>
    </row>
    <row r="67" spans="2:164" x14ac:dyDescent="0.25">
      <c r="B67"/>
      <c r="C67"/>
      <c r="D67"/>
      <c r="E67"/>
      <c r="F67" s="16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 s="16"/>
      <c r="W67"/>
      <c r="X67"/>
      <c r="Y67"/>
      <c r="Z67"/>
      <c r="AA67"/>
      <c r="AB67"/>
      <c r="AC67"/>
      <c r="AD67"/>
      <c r="AE67"/>
      <c r="AF67"/>
      <c r="AG67"/>
      <c r="AH67"/>
      <c r="AI67"/>
      <c r="AJ67" s="12"/>
      <c r="AK67" s="12"/>
      <c r="AL67" s="17"/>
      <c r="AN67" s="17"/>
      <c r="AP67" s="17"/>
      <c r="AQ67" s="12"/>
      <c r="AR67" s="12"/>
      <c r="AT67" s="17"/>
      <c r="AU67" s="12"/>
      <c r="AV67" s="12"/>
      <c r="AW67" s="17"/>
      <c r="AX67" s="12"/>
      <c r="AY67" s="12"/>
      <c r="BA67" s="12"/>
      <c r="BB67" s="12"/>
      <c r="BD67" s="12"/>
      <c r="BE67" s="12"/>
      <c r="BF67" s="17"/>
      <c r="BG67" s="12"/>
      <c r="BH67" s="12"/>
      <c r="BJ67" s="12"/>
      <c r="BK67" s="12"/>
      <c r="BM67" s="12"/>
      <c r="BN67" s="12"/>
      <c r="BO67" s="17"/>
      <c r="BQ67" s="12"/>
      <c r="BR67" s="12"/>
      <c r="BU67" s="12"/>
      <c r="BV67" s="12"/>
      <c r="BY67" s="12"/>
      <c r="BZ67" s="12"/>
      <c r="CC67" s="12"/>
      <c r="CD67" s="12"/>
      <c r="CE67"/>
      <c r="CG67" s="12"/>
      <c r="CH67" s="12"/>
      <c r="CJ67" s="12"/>
      <c r="CK67" s="12"/>
      <c r="CN67" s="12"/>
      <c r="CO67" s="12"/>
      <c r="CT67"/>
      <c r="CV67" s="12"/>
      <c r="CW67" s="12"/>
      <c r="CZ67" s="12"/>
      <c r="DA67" s="12"/>
      <c r="DC67" s="12"/>
      <c r="DD67" s="12"/>
      <c r="DE67" s="17"/>
      <c r="DF67" s="1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X67" s="9"/>
      <c r="EY67" s="9"/>
      <c r="EZ67" s="9"/>
      <c r="FA67" s="15"/>
      <c r="FB67" s="14"/>
      <c r="FC67" s="10"/>
      <c r="FD67" s="10"/>
      <c r="FE67" s="10"/>
      <c r="FF67" s="10"/>
      <c r="FG67" s="10"/>
      <c r="FH67" s="10"/>
    </row>
    <row r="68" spans="2:164" x14ac:dyDescent="0.25">
      <c r="B68"/>
      <c r="C68"/>
      <c r="D68"/>
      <c r="E68"/>
      <c r="F68" s="16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 s="16"/>
      <c r="W68"/>
      <c r="X68"/>
      <c r="Y68"/>
      <c r="Z68"/>
      <c r="AA68"/>
      <c r="AB68"/>
      <c r="AC68"/>
      <c r="AD68"/>
      <c r="AE68"/>
      <c r="AF68"/>
      <c r="AG68"/>
      <c r="AH68"/>
      <c r="AI68"/>
      <c r="AJ68" s="12"/>
      <c r="AK68" s="12"/>
      <c r="AL68" s="17"/>
      <c r="AQ68" s="12"/>
      <c r="AR68" s="12"/>
      <c r="AU68" s="12"/>
      <c r="AV68" s="12"/>
      <c r="AW68" s="17"/>
      <c r="AX68" s="12"/>
      <c r="AY68" s="12"/>
      <c r="BA68" s="12"/>
      <c r="BB68" s="12"/>
      <c r="BD68" s="12"/>
      <c r="BE68" s="12"/>
      <c r="BG68" s="12"/>
      <c r="BH68" s="12"/>
      <c r="BJ68" s="12"/>
      <c r="BK68" s="12"/>
      <c r="BM68" s="12"/>
      <c r="BN68" s="12"/>
      <c r="BQ68" s="12"/>
      <c r="BR68" s="12"/>
      <c r="BU68" s="12"/>
      <c r="BV68" s="12"/>
      <c r="BY68" s="12"/>
      <c r="BZ68" s="12"/>
      <c r="CC68" s="12"/>
      <c r="CD68" s="12"/>
      <c r="CE68"/>
      <c r="CG68" s="12"/>
      <c r="CH68" s="12"/>
      <c r="CJ68" s="12"/>
      <c r="CK68" s="12"/>
      <c r="CN68" s="12"/>
      <c r="CO68" s="12"/>
      <c r="CT68"/>
      <c r="CV68" s="12"/>
      <c r="CW68" s="12"/>
      <c r="CZ68" s="12"/>
      <c r="DA68" s="12"/>
      <c r="DC68" s="12"/>
      <c r="DD68" s="12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X68" s="9"/>
      <c r="EY68" s="9"/>
      <c r="EZ68" s="9"/>
      <c r="FA68" s="15"/>
      <c r="FB68" s="14"/>
      <c r="FC68" s="10"/>
      <c r="FD68" s="10"/>
      <c r="FE68" s="10"/>
      <c r="FF68" s="10"/>
      <c r="FG68" s="10"/>
      <c r="FH68" s="10"/>
    </row>
    <row r="69" spans="2:164" x14ac:dyDescent="0.25">
      <c r="B69"/>
      <c r="C69"/>
      <c r="D69"/>
      <c r="E69"/>
      <c r="F69" s="16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 s="16"/>
      <c r="W69"/>
      <c r="X69"/>
      <c r="Y69"/>
      <c r="Z69"/>
      <c r="AA69"/>
      <c r="AB69"/>
      <c r="AC69"/>
      <c r="AD69"/>
      <c r="AE69"/>
      <c r="AF69"/>
      <c r="AG69"/>
      <c r="AH69"/>
      <c r="AI69"/>
      <c r="AJ69" s="12"/>
      <c r="AK69" s="12"/>
      <c r="AL69" s="17"/>
      <c r="AP69" s="17"/>
      <c r="AQ69" s="12"/>
      <c r="AR69" s="12"/>
      <c r="AT69" s="17"/>
      <c r="AU69" s="12"/>
      <c r="AV69" s="12"/>
      <c r="AW69" s="17"/>
      <c r="AX69" s="12"/>
      <c r="AY69" s="12"/>
      <c r="BA69" s="12"/>
      <c r="BB69" s="12"/>
      <c r="BD69" s="12"/>
      <c r="BE69" s="12"/>
      <c r="BG69" s="12"/>
      <c r="BH69" s="12"/>
      <c r="BJ69" s="12"/>
      <c r="BK69" s="12"/>
      <c r="BM69" s="12"/>
      <c r="BN69" s="12"/>
      <c r="BQ69" s="12"/>
      <c r="BR69" s="12"/>
      <c r="BU69" s="12"/>
      <c r="BV69" s="12"/>
      <c r="BY69" s="12"/>
      <c r="BZ69" s="12"/>
      <c r="CC69" s="12"/>
      <c r="CD69" s="12"/>
      <c r="CE69"/>
      <c r="CG69" s="12"/>
      <c r="CH69" s="12"/>
      <c r="CJ69" s="12"/>
      <c r="CK69" s="12"/>
      <c r="CN69" s="12"/>
      <c r="CO69" s="12"/>
      <c r="CT69"/>
      <c r="CV69" s="12"/>
      <c r="CW69" s="12"/>
      <c r="CZ69" s="12"/>
      <c r="DA69" s="12"/>
      <c r="DB69" s="17"/>
      <c r="DC69" s="12"/>
      <c r="DD69" s="12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X69" s="9"/>
      <c r="EY69" s="9"/>
      <c r="EZ69" s="9"/>
      <c r="FA69" s="15"/>
      <c r="FB69" s="14"/>
      <c r="FC69" s="10"/>
      <c r="FD69" s="10"/>
      <c r="FE69" s="10"/>
      <c r="FF69" s="10"/>
      <c r="FG69" s="10"/>
      <c r="FH69" s="10"/>
    </row>
    <row r="70" spans="2:164" x14ac:dyDescent="0.25">
      <c r="B70"/>
      <c r="C70"/>
      <c r="D70"/>
      <c r="E70"/>
      <c r="F70" s="16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 s="16"/>
      <c r="W70"/>
      <c r="X70"/>
      <c r="Y70"/>
      <c r="Z70"/>
      <c r="AA70"/>
      <c r="AB70"/>
      <c r="AC70"/>
      <c r="AD70"/>
      <c r="AE70"/>
      <c r="AF70"/>
      <c r="AG70"/>
      <c r="AH70"/>
      <c r="AI70"/>
      <c r="AJ70" s="12"/>
      <c r="AK70" s="12"/>
      <c r="AL70" s="17"/>
      <c r="AQ70" s="12"/>
      <c r="AR70" s="12"/>
      <c r="AU70" s="12"/>
      <c r="AV70" s="12"/>
      <c r="AW70" s="17"/>
      <c r="AX70" s="12"/>
      <c r="AY70" s="12"/>
      <c r="BA70" s="12"/>
      <c r="BB70" s="12"/>
      <c r="BD70" s="12"/>
      <c r="BE70" s="12"/>
      <c r="BG70" s="12"/>
      <c r="BH70" s="12"/>
      <c r="BJ70" s="12"/>
      <c r="BK70" s="12"/>
      <c r="BM70" s="12"/>
      <c r="BN70" s="12"/>
      <c r="BQ70" s="12"/>
      <c r="BR70" s="12"/>
      <c r="BU70" s="12"/>
      <c r="BV70" s="12"/>
      <c r="BY70" s="12"/>
      <c r="BZ70" s="12"/>
      <c r="CC70" s="12"/>
      <c r="CD70" s="12"/>
      <c r="CE70"/>
      <c r="CG70" s="12"/>
      <c r="CH70" s="12"/>
      <c r="CJ70" s="12"/>
      <c r="CK70" s="12"/>
      <c r="CN70" s="12"/>
      <c r="CO70" s="12"/>
      <c r="CT70"/>
      <c r="CV70" s="12"/>
      <c r="CW70" s="12"/>
      <c r="CZ70" s="12"/>
      <c r="DA70" s="12"/>
      <c r="DC70" s="12"/>
      <c r="DD70" s="12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X70" s="9"/>
      <c r="EY70" s="9"/>
      <c r="EZ70" s="9"/>
      <c r="FA70" s="15"/>
      <c r="FB70" s="14"/>
      <c r="FC70" s="10"/>
      <c r="FD70" s="10"/>
      <c r="FE70" s="10"/>
      <c r="FF70" s="10"/>
      <c r="FG70" s="10"/>
      <c r="FH70" s="10"/>
    </row>
    <row r="71" spans="2:164" x14ac:dyDescent="0.25">
      <c r="B71"/>
      <c r="C71"/>
      <c r="D71"/>
      <c r="E71"/>
      <c r="F71" s="16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 s="16"/>
      <c r="W71"/>
      <c r="X71"/>
      <c r="Y71"/>
      <c r="Z71"/>
      <c r="AA71"/>
      <c r="AB71"/>
      <c r="AC71"/>
      <c r="AD71"/>
      <c r="AE71"/>
      <c r="AF71"/>
      <c r="AG71"/>
      <c r="AH71"/>
      <c r="AI71"/>
      <c r="AJ71" s="12"/>
      <c r="AK71" s="12"/>
      <c r="AL71" s="17"/>
      <c r="AQ71" s="12"/>
      <c r="AR71" s="12"/>
      <c r="AU71" s="12"/>
      <c r="AV71" s="12"/>
      <c r="AW71" s="17"/>
      <c r="AX71" s="12"/>
      <c r="AY71" s="12"/>
      <c r="BA71" s="12"/>
      <c r="BB71" s="12"/>
      <c r="BD71" s="12"/>
      <c r="BE71" s="12"/>
      <c r="BG71" s="12"/>
      <c r="BH71" s="12"/>
      <c r="BJ71" s="12"/>
      <c r="BK71" s="12"/>
      <c r="BM71" s="12"/>
      <c r="BN71" s="12"/>
      <c r="BQ71" s="12"/>
      <c r="BR71" s="12"/>
      <c r="BU71" s="12"/>
      <c r="BV71" s="12"/>
      <c r="BY71" s="12"/>
      <c r="BZ71" s="12"/>
      <c r="CC71" s="12"/>
      <c r="CD71" s="12"/>
      <c r="CE71"/>
      <c r="CG71" s="12"/>
      <c r="CH71" s="12"/>
      <c r="CJ71" s="12"/>
      <c r="CK71" s="12"/>
      <c r="CN71" s="12"/>
      <c r="CO71" s="12"/>
      <c r="CT71"/>
      <c r="CV71" s="12"/>
      <c r="CW71" s="12"/>
      <c r="CZ71" s="12"/>
      <c r="DA71" s="12"/>
      <c r="DC71" s="12"/>
      <c r="DD71" s="12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X71" s="9"/>
      <c r="EY71" s="9"/>
      <c r="EZ71" s="9"/>
      <c r="FA71" s="15"/>
      <c r="FB71" s="14"/>
      <c r="FC71" s="10"/>
      <c r="FD71" s="10"/>
      <c r="FE71" s="10"/>
      <c r="FF71" s="10"/>
      <c r="FG71" s="10"/>
      <c r="FH71" s="10"/>
    </row>
    <row r="72" spans="2:164" x14ac:dyDescent="0.25">
      <c r="B72"/>
      <c r="C72"/>
      <c r="D72"/>
      <c r="E72"/>
      <c r="F72" s="16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 s="16"/>
      <c r="W72"/>
      <c r="X72"/>
      <c r="Y72"/>
      <c r="Z72"/>
      <c r="AA72"/>
      <c r="AB72"/>
      <c r="AC72"/>
      <c r="AD72"/>
      <c r="AE72"/>
      <c r="AF72"/>
      <c r="AG72"/>
      <c r="AH72"/>
      <c r="AI72"/>
      <c r="AJ72" s="12"/>
      <c r="AK72" s="12"/>
      <c r="AL72" s="17"/>
      <c r="AP72" s="17"/>
      <c r="AQ72" s="12"/>
      <c r="AR72" s="12"/>
      <c r="AT72" s="17"/>
      <c r="AU72" s="12"/>
      <c r="AV72" s="12"/>
      <c r="AW72" s="17"/>
      <c r="AX72" s="12"/>
      <c r="AY72" s="12"/>
      <c r="BA72" s="12"/>
      <c r="BB72" s="12"/>
      <c r="BD72" s="12"/>
      <c r="BE72" s="12"/>
      <c r="BG72" s="12"/>
      <c r="BH72" s="12"/>
      <c r="BJ72" s="12"/>
      <c r="BK72" s="12"/>
      <c r="BM72" s="12"/>
      <c r="BN72" s="12"/>
      <c r="BQ72" s="12"/>
      <c r="BR72" s="12"/>
      <c r="BU72" s="12"/>
      <c r="BV72" s="12"/>
      <c r="BY72" s="12"/>
      <c r="BZ72" s="12"/>
      <c r="CC72" s="12"/>
      <c r="CD72" s="12"/>
      <c r="CE72"/>
      <c r="CG72" s="12"/>
      <c r="CH72" s="12"/>
      <c r="CJ72" s="12"/>
      <c r="CK72" s="12"/>
      <c r="CN72" s="12"/>
      <c r="CO72" s="12"/>
      <c r="CT72"/>
      <c r="CV72" s="12"/>
      <c r="CW72" s="12"/>
      <c r="CZ72" s="12"/>
      <c r="DA72" s="12"/>
      <c r="DB72" s="17"/>
      <c r="DC72" s="12"/>
      <c r="DD72" s="12"/>
      <c r="DF72" s="17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X72" s="9"/>
      <c r="EY72" s="9"/>
      <c r="EZ72" s="9"/>
      <c r="FA72" s="15"/>
      <c r="FB72" s="14"/>
      <c r="FC72" s="10"/>
      <c r="FD72" s="10"/>
      <c r="FE72" s="10"/>
      <c r="FF72" s="10"/>
      <c r="FG72" s="10"/>
      <c r="FH72" s="10"/>
    </row>
    <row r="73" spans="2:164" x14ac:dyDescent="0.25">
      <c r="B73"/>
      <c r="C73"/>
      <c r="D73"/>
      <c r="E73"/>
      <c r="F73" s="16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 s="16"/>
      <c r="W73"/>
      <c r="X73"/>
      <c r="Y73"/>
      <c r="Z73"/>
      <c r="AA73"/>
      <c r="AB73"/>
      <c r="AC73"/>
      <c r="AD73"/>
      <c r="AE73"/>
      <c r="AF73"/>
      <c r="AG73"/>
      <c r="AH73"/>
      <c r="AI73"/>
      <c r="AJ73" s="12"/>
      <c r="AK73" s="12"/>
      <c r="AL73" s="17"/>
      <c r="AP73" s="17"/>
      <c r="AQ73" s="12"/>
      <c r="AR73" s="12"/>
      <c r="AT73" s="17"/>
      <c r="AU73" s="12"/>
      <c r="AV73" s="12"/>
      <c r="AW73" s="17"/>
      <c r="AX73" s="12"/>
      <c r="AY73" s="12"/>
      <c r="BA73" s="12"/>
      <c r="BB73" s="12"/>
      <c r="BD73" s="12"/>
      <c r="BE73" s="12"/>
      <c r="BG73" s="12"/>
      <c r="BH73" s="12"/>
      <c r="BJ73" s="12"/>
      <c r="BK73" s="12"/>
      <c r="BM73" s="12"/>
      <c r="BN73" s="12"/>
      <c r="BQ73" s="12"/>
      <c r="BR73" s="12"/>
      <c r="BU73" s="12"/>
      <c r="BV73" s="12"/>
      <c r="BY73" s="12"/>
      <c r="BZ73" s="12"/>
      <c r="CC73" s="12"/>
      <c r="CD73" s="12"/>
      <c r="CE73"/>
      <c r="CG73" s="12"/>
      <c r="CH73" s="12"/>
      <c r="CJ73" s="12"/>
      <c r="CK73" s="12"/>
      <c r="CN73" s="12"/>
      <c r="CO73" s="12"/>
      <c r="CT73"/>
      <c r="CV73" s="12"/>
      <c r="CW73" s="12"/>
      <c r="CZ73" s="12"/>
      <c r="DA73" s="12"/>
      <c r="DB73" s="17"/>
      <c r="DC73" s="12"/>
      <c r="DD73" s="12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X73" s="9"/>
      <c r="EY73" s="9"/>
      <c r="EZ73" s="9"/>
      <c r="FA73" s="15"/>
      <c r="FB73" s="14"/>
      <c r="FC73" s="10"/>
      <c r="FD73" s="10"/>
      <c r="FE73" s="10"/>
      <c r="FF73" s="10"/>
      <c r="FG73" s="10"/>
      <c r="FH73" s="10"/>
    </row>
    <row r="74" spans="2:164" x14ac:dyDescent="0.25">
      <c r="B74"/>
      <c r="C74"/>
      <c r="D74"/>
      <c r="E74"/>
      <c r="F74" s="16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 s="16"/>
      <c r="W74"/>
      <c r="X74"/>
      <c r="Y74"/>
      <c r="Z74"/>
      <c r="AA74"/>
      <c r="AB74"/>
      <c r="AC74"/>
      <c r="AD74"/>
      <c r="AE74"/>
      <c r="AF74"/>
      <c r="AG74"/>
      <c r="AH74"/>
      <c r="AI74"/>
      <c r="AJ74" s="12"/>
      <c r="AK74" s="12"/>
      <c r="AL74" s="17"/>
      <c r="AP74" s="17"/>
      <c r="AQ74" s="12"/>
      <c r="AR74" s="12"/>
      <c r="AT74" s="17"/>
      <c r="AU74" s="12"/>
      <c r="AV74" s="12"/>
      <c r="AW74" s="17"/>
      <c r="AX74" s="12"/>
      <c r="AY74" s="12"/>
      <c r="BA74" s="12"/>
      <c r="BB74" s="12"/>
      <c r="BD74" s="12"/>
      <c r="BE74" s="12"/>
      <c r="BG74" s="12"/>
      <c r="BH74" s="12"/>
      <c r="BJ74" s="12"/>
      <c r="BK74" s="12"/>
      <c r="BM74" s="12"/>
      <c r="BN74" s="12"/>
      <c r="BQ74" s="12"/>
      <c r="BR74" s="12"/>
      <c r="BU74" s="12"/>
      <c r="BV74" s="12"/>
      <c r="BY74" s="12"/>
      <c r="BZ74" s="12"/>
      <c r="CC74" s="12"/>
      <c r="CD74" s="12"/>
      <c r="CE74"/>
      <c r="CG74" s="12"/>
      <c r="CH74" s="12"/>
      <c r="CJ74" s="12"/>
      <c r="CK74" s="12"/>
      <c r="CN74" s="12"/>
      <c r="CO74" s="12"/>
      <c r="CT74"/>
      <c r="CV74" s="12"/>
      <c r="CW74" s="12"/>
      <c r="CZ74" s="12"/>
      <c r="DA74" s="12"/>
      <c r="DB74" s="17"/>
      <c r="DC74" s="12"/>
      <c r="DD74" s="12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X74" s="9"/>
      <c r="EY74" s="9"/>
      <c r="EZ74" s="9"/>
      <c r="FA74" s="15"/>
      <c r="FB74" s="14"/>
      <c r="FC74" s="10"/>
      <c r="FD74" s="10"/>
      <c r="FE74" s="10"/>
      <c r="FF74" s="10"/>
      <c r="FG74" s="10"/>
      <c r="FH74" s="10"/>
    </row>
    <row r="75" spans="2:164" x14ac:dyDescent="0.25">
      <c r="B75"/>
      <c r="C75"/>
      <c r="D75"/>
      <c r="E75"/>
      <c r="F75" s="16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 s="16"/>
      <c r="W75"/>
      <c r="X75"/>
      <c r="Y75"/>
      <c r="Z75"/>
      <c r="AA75"/>
      <c r="AB75"/>
      <c r="AC75"/>
      <c r="AD75"/>
      <c r="AE75"/>
      <c r="AF75"/>
      <c r="AG75"/>
      <c r="AH75"/>
      <c r="AI75"/>
      <c r="AJ75" s="12"/>
      <c r="AK75" s="12"/>
      <c r="AL75" s="17"/>
      <c r="AQ75" s="12"/>
      <c r="AR75" s="12"/>
      <c r="AU75" s="12"/>
      <c r="AV75" s="12"/>
      <c r="AW75" s="17"/>
      <c r="AX75" s="12"/>
      <c r="AY75" s="12"/>
      <c r="BA75" s="12"/>
      <c r="BB75" s="12"/>
      <c r="BD75" s="12"/>
      <c r="BE75" s="12"/>
      <c r="BG75" s="12"/>
      <c r="BH75" s="12"/>
      <c r="BJ75" s="12"/>
      <c r="BK75" s="12"/>
      <c r="BM75" s="12"/>
      <c r="BN75" s="12"/>
      <c r="BQ75" s="12"/>
      <c r="BR75" s="12"/>
      <c r="BU75" s="12"/>
      <c r="BV75" s="12"/>
      <c r="BY75" s="12"/>
      <c r="BZ75" s="12"/>
      <c r="CC75" s="12"/>
      <c r="CD75" s="12"/>
      <c r="CE75"/>
      <c r="CG75" s="12"/>
      <c r="CH75" s="12"/>
      <c r="CJ75" s="12"/>
      <c r="CK75" s="12"/>
      <c r="CN75" s="12"/>
      <c r="CO75" s="12"/>
      <c r="CT75"/>
      <c r="CV75" s="12"/>
      <c r="CW75" s="12"/>
      <c r="CZ75" s="12"/>
      <c r="DA75" s="12"/>
      <c r="DC75" s="12"/>
      <c r="DD75" s="12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X75" s="9"/>
      <c r="EY75" s="9"/>
      <c r="EZ75" s="9"/>
      <c r="FA75" s="15"/>
      <c r="FB75" s="14"/>
      <c r="FC75" s="10"/>
      <c r="FD75" s="10"/>
      <c r="FE75" s="10"/>
      <c r="FF75" s="10"/>
      <c r="FG75" s="10"/>
      <c r="FH75" s="10"/>
    </row>
    <row r="76" spans="2:164" x14ac:dyDescent="0.25">
      <c r="B76"/>
      <c r="C76"/>
      <c r="D76"/>
      <c r="E76"/>
      <c r="F76" s="1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 s="16"/>
      <c r="W76"/>
      <c r="X76"/>
      <c r="Y76"/>
      <c r="Z76"/>
      <c r="AA76"/>
      <c r="AB76"/>
      <c r="AC76"/>
      <c r="AD76"/>
      <c r="AE76"/>
      <c r="AF76"/>
      <c r="AG76"/>
      <c r="AH76"/>
      <c r="AI76"/>
      <c r="AJ76" s="12"/>
      <c r="AK76" s="12"/>
      <c r="AL76" s="17"/>
      <c r="AQ76" s="12"/>
      <c r="AR76" s="12"/>
      <c r="AU76" s="12"/>
      <c r="AV76" s="12"/>
      <c r="AW76" s="17"/>
      <c r="AX76" s="12"/>
      <c r="AY76" s="12"/>
      <c r="BA76" s="12"/>
      <c r="BB76" s="12"/>
      <c r="BD76" s="12"/>
      <c r="BE76" s="12"/>
      <c r="BG76" s="12"/>
      <c r="BH76" s="12"/>
      <c r="BJ76" s="12"/>
      <c r="BK76" s="12"/>
      <c r="BM76" s="12"/>
      <c r="BN76" s="12"/>
      <c r="BQ76" s="12"/>
      <c r="BR76" s="12"/>
      <c r="BU76" s="12"/>
      <c r="BV76" s="12"/>
      <c r="BY76" s="12"/>
      <c r="BZ76" s="12"/>
      <c r="CC76" s="12"/>
      <c r="CD76" s="12"/>
      <c r="CE76"/>
      <c r="CG76" s="12"/>
      <c r="CH76" s="12"/>
      <c r="CJ76" s="12"/>
      <c r="CK76" s="12"/>
      <c r="CN76" s="12"/>
      <c r="CO76" s="12"/>
      <c r="CT76"/>
      <c r="CV76" s="12"/>
      <c r="CW76" s="12"/>
      <c r="CZ76" s="12"/>
      <c r="DA76" s="12"/>
      <c r="DC76" s="12"/>
      <c r="DD76" s="12"/>
      <c r="DF76" s="17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X76" s="9"/>
      <c r="EY76" s="9"/>
      <c r="EZ76" s="9"/>
      <c r="FA76" s="15"/>
      <c r="FB76" s="14"/>
      <c r="FC76" s="10"/>
      <c r="FD76" s="10"/>
      <c r="FE76" s="10"/>
      <c r="FF76" s="10"/>
      <c r="FG76" s="10"/>
      <c r="FH76" s="10"/>
    </row>
    <row r="77" spans="2:164" x14ac:dyDescent="0.25">
      <c r="B77"/>
      <c r="C77"/>
      <c r="D77"/>
      <c r="E77"/>
      <c r="F77" s="16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 s="16"/>
      <c r="W77"/>
      <c r="X77"/>
      <c r="Y77"/>
      <c r="Z77"/>
      <c r="AA77"/>
      <c r="AB77"/>
      <c r="AC77"/>
      <c r="AD77"/>
      <c r="AE77"/>
      <c r="AF77"/>
      <c r="AG77"/>
      <c r="AH77"/>
      <c r="AI77"/>
      <c r="AJ77" s="12"/>
      <c r="AK77" s="12"/>
      <c r="AL77" s="17"/>
      <c r="AQ77" s="12"/>
      <c r="AR77" s="12"/>
      <c r="AU77" s="12"/>
      <c r="AV77" s="12"/>
      <c r="AW77" s="17"/>
      <c r="AX77" s="12"/>
      <c r="AY77" s="12"/>
      <c r="BA77" s="12"/>
      <c r="BB77" s="12"/>
      <c r="BD77" s="12"/>
      <c r="BE77" s="12"/>
      <c r="BG77" s="12"/>
      <c r="BH77" s="12"/>
      <c r="BJ77" s="12"/>
      <c r="BK77" s="12"/>
      <c r="BM77" s="12"/>
      <c r="BN77" s="12"/>
      <c r="BQ77" s="12"/>
      <c r="BR77" s="12"/>
      <c r="BU77" s="12"/>
      <c r="BV77" s="12"/>
      <c r="BY77" s="12"/>
      <c r="BZ77" s="12"/>
      <c r="CC77" s="12"/>
      <c r="CD77" s="12"/>
      <c r="CE77"/>
      <c r="CG77" s="12"/>
      <c r="CH77" s="12"/>
      <c r="CJ77" s="12"/>
      <c r="CK77" s="12"/>
      <c r="CN77" s="12"/>
      <c r="CO77" s="12"/>
      <c r="CT77"/>
      <c r="CV77" s="12"/>
      <c r="CW77" s="12"/>
      <c r="CZ77" s="12"/>
      <c r="DA77" s="12"/>
      <c r="DC77" s="12"/>
      <c r="DD77" s="12"/>
      <c r="DF77" s="1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X77" s="9"/>
      <c r="EY77" s="9"/>
      <c r="EZ77" s="9"/>
      <c r="FA77" s="15"/>
      <c r="FB77" s="14"/>
      <c r="FC77" s="10"/>
      <c r="FD77" s="10"/>
      <c r="FE77" s="10"/>
      <c r="FF77" s="10"/>
      <c r="FG77" s="10"/>
      <c r="FH77" s="10"/>
    </row>
    <row r="78" spans="2:164" x14ac:dyDescent="0.25">
      <c r="B78"/>
      <c r="C78"/>
      <c r="D78"/>
      <c r="E78"/>
      <c r="F78" s="16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 s="16"/>
      <c r="W78"/>
      <c r="X78"/>
      <c r="Y78"/>
      <c r="Z78"/>
      <c r="AA78"/>
      <c r="AB78"/>
      <c r="AC78"/>
      <c r="AD78"/>
      <c r="AE78"/>
      <c r="AF78"/>
      <c r="AG78"/>
      <c r="AH78"/>
      <c r="AI78"/>
      <c r="AJ78" s="12"/>
      <c r="AK78" s="12"/>
      <c r="AL78" s="17"/>
      <c r="AQ78" s="12"/>
      <c r="AR78" s="12"/>
      <c r="AU78" s="12"/>
      <c r="AV78" s="12"/>
      <c r="AW78" s="17"/>
      <c r="AX78" s="12"/>
      <c r="AY78" s="12"/>
      <c r="BA78" s="12"/>
      <c r="BB78" s="12"/>
      <c r="BD78" s="12"/>
      <c r="BE78" s="12"/>
      <c r="BG78" s="12"/>
      <c r="BH78" s="12"/>
      <c r="BJ78" s="12"/>
      <c r="BK78" s="12"/>
      <c r="BM78" s="12"/>
      <c r="BN78" s="12"/>
      <c r="BQ78" s="12"/>
      <c r="BR78" s="12"/>
      <c r="BU78" s="12"/>
      <c r="BV78" s="12"/>
      <c r="BY78" s="12"/>
      <c r="BZ78" s="12"/>
      <c r="CC78" s="12"/>
      <c r="CD78" s="12"/>
      <c r="CE78"/>
      <c r="CG78" s="12"/>
      <c r="CH78" s="12"/>
      <c r="CJ78" s="12"/>
      <c r="CK78" s="12"/>
      <c r="CN78" s="12"/>
      <c r="CO78" s="12"/>
      <c r="CT78"/>
      <c r="CV78" s="12"/>
      <c r="CW78" s="12"/>
      <c r="CZ78" s="12"/>
      <c r="DA78" s="12"/>
      <c r="DC78" s="12"/>
      <c r="DD78" s="12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X78" s="9"/>
      <c r="EY78" s="9"/>
      <c r="EZ78" s="9"/>
      <c r="FA78" s="15"/>
      <c r="FB78" s="14"/>
      <c r="FC78" s="10"/>
      <c r="FD78" s="10"/>
      <c r="FE78" s="10"/>
      <c r="FF78" s="10"/>
      <c r="FG78" s="10"/>
      <c r="FH78" s="10"/>
    </row>
    <row r="79" spans="2:164" x14ac:dyDescent="0.25">
      <c r="B79"/>
      <c r="C79"/>
      <c r="D79"/>
      <c r="E79"/>
      <c r="F79" s="16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 s="16"/>
      <c r="W79"/>
      <c r="X79"/>
      <c r="Y79"/>
      <c r="Z79"/>
      <c r="AA79"/>
      <c r="AB79"/>
      <c r="AC79"/>
      <c r="AD79"/>
      <c r="AE79"/>
      <c r="AF79"/>
      <c r="AG79"/>
      <c r="AH79"/>
      <c r="AI79"/>
      <c r="AJ79" s="12"/>
      <c r="AK79" s="12"/>
      <c r="AL79" s="17"/>
      <c r="AQ79" s="12"/>
      <c r="AR79" s="12"/>
      <c r="AU79" s="12"/>
      <c r="AV79" s="12"/>
      <c r="AW79" s="17"/>
      <c r="AX79" s="12"/>
      <c r="AY79" s="12"/>
      <c r="BA79" s="12"/>
      <c r="BB79" s="12"/>
      <c r="BD79" s="12"/>
      <c r="BE79" s="12"/>
      <c r="BG79" s="12"/>
      <c r="BH79" s="12"/>
      <c r="BJ79" s="12"/>
      <c r="BK79" s="12"/>
      <c r="BM79" s="12"/>
      <c r="BN79" s="12"/>
      <c r="BQ79" s="12"/>
      <c r="BR79" s="12"/>
      <c r="BU79" s="12"/>
      <c r="BV79" s="12"/>
      <c r="BY79" s="12"/>
      <c r="BZ79" s="12"/>
      <c r="CC79" s="12"/>
      <c r="CD79" s="12"/>
      <c r="CE79"/>
      <c r="CG79" s="12"/>
      <c r="CH79" s="12"/>
      <c r="CJ79" s="12"/>
      <c r="CK79" s="12"/>
      <c r="CN79" s="12"/>
      <c r="CO79" s="12"/>
      <c r="CT79"/>
      <c r="CV79" s="12"/>
      <c r="CW79" s="12"/>
      <c r="CZ79" s="12"/>
      <c r="DA79" s="12"/>
      <c r="DC79" s="12"/>
      <c r="DD79" s="12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X79" s="9"/>
      <c r="EY79" s="9"/>
      <c r="EZ79" s="9"/>
      <c r="FA79" s="15"/>
      <c r="FB79" s="14"/>
      <c r="FC79" s="10"/>
      <c r="FD79" s="10"/>
      <c r="FE79" s="10"/>
      <c r="FF79" s="10"/>
      <c r="FG79" s="10"/>
      <c r="FH79" s="10"/>
    </row>
    <row r="80" spans="2:164" x14ac:dyDescent="0.25">
      <c r="B80"/>
      <c r="C80"/>
      <c r="D80"/>
      <c r="E80"/>
      <c r="F80" s="16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 s="16"/>
      <c r="W80"/>
      <c r="X80"/>
      <c r="Y80"/>
      <c r="Z80"/>
      <c r="AA80"/>
      <c r="AB80"/>
      <c r="AC80"/>
      <c r="AD80"/>
      <c r="AE80"/>
      <c r="AF80"/>
      <c r="AG80"/>
      <c r="AH80"/>
      <c r="AI80"/>
      <c r="AJ80" s="12"/>
      <c r="AK80" s="12"/>
      <c r="AL80" s="17"/>
      <c r="AQ80" s="12"/>
      <c r="AR80" s="12"/>
      <c r="AU80" s="12"/>
      <c r="AV80" s="12"/>
      <c r="AW80" s="17"/>
      <c r="AX80" s="12"/>
      <c r="AY80" s="12"/>
      <c r="BA80" s="12"/>
      <c r="BB80" s="12"/>
      <c r="BD80" s="12"/>
      <c r="BE80" s="12"/>
      <c r="BG80" s="12"/>
      <c r="BH80" s="12"/>
      <c r="BJ80" s="12"/>
      <c r="BK80" s="12"/>
      <c r="BM80" s="12"/>
      <c r="BN80" s="12"/>
      <c r="BQ80" s="12"/>
      <c r="BR80" s="12"/>
      <c r="BU80" s="12"/>
      <c r="BV80" s="12"/>
      <c r="BY80" s="12"/>
      <c r="BZ80" s="12"/>
      <c r="CC80" s="12"/>
      <c r="CD80" s="12"/>
      <c r="CE80"/>
      <c r="CG80" s="12"/>
      <c r="CH80" s="12"/>
      <c r="CJ80" s="12"/>
      <c r="CK80" s="12"/>
      <c r="CN80" s="12"/>
      <c r="CO80" s="12"/>
      <c r="CT80"/>
      <c r="CV80" s="12"/>
      <c r="CW80" s="12"/>
      <c r="CZ80" s="12"/>
      <c r="DA80" s="12"/>
      <c r="DC80" s="12"/>
      <c r="DD80" s="12"/>
      <c r="DF80" s="17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X80" s="9"/>
      <c r="EY80" s="9"/>
      <c r="EZ80" s="9"/>
      <c r="FA80" s="15"/>
      <c r="FB80" s="14"/>
      <c r="FC80" s="10"/>
      <c r="FD80" s="10"/>
      <c r="FE80" s="10"/>
      <c r="FF80" s="10"/>
      <c r="FG80" s="10"/>
      <c r="FH80" s="10"/>
    </row>
    <row r="81" spans="2:164" x14ac:dyDescent="0.25">
      <c r="B81"/>
      <c r="C81"/>
      <c r="D81"/>
      <c r="E81"/>
      <c r="F81" s="16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 s="16"/>
      <c r="W81"/>
      <c r="X81"/>
      <c r="Y81"/>
      <c r="Z81"/>
      <c r="AA81"/>
      <c r="AB81"/>
      <c r="AC81"/>
      <c r="AD81"/>
      <c r="AE81"/>
      <c r="AF81"/>
      <c r="AG81"/>
      <c r="AH81"/>
      <c r="AI81"/>
      <c r="AJ81" s="12"/>
      <c r="AK81" s="12"/>
      <c r="AL81" s="17"/>
      <c r="AQ81" s="12"/>
      <c r="AR81" s="12"/>
      <c r="AU81" s="12"/>
      <c r="AV81" s="12"/>
      <c r="AW81" s="17"/>
      <c r="AX81" s="12"/>
      <c r="AY81" s="12"/>
      <c r="BA81" s="12"/>
      <c r="BB81" s="12"/>
      <c r="BD81" s="12"/>
      <c r="BE81" s="12"/>
      <c r="BG81" s="12"/>
      <c r="BH81" s="12"/>
      <c r="BJ81" s="12"/>
      <c r="BK81" s="12"/>
      <c r="BM81" s="12"/>
      <c r="BN81" s="12"/>
      <c r="BQ81" s="12"/>
      <c r="BR81" s="12"/>
      <c r="BU81" s="12"/>
      <c r="BV81" s="12"/>
      <c r="BY81" s="12"/>
      <c r="BZ81" s="12"/>
      <c r="CC81" s="12"/>
      <c r="CD81" s="12"/>
      <c r="CE81"/>
      <c r="CG81" s="12"/>
      <c r="CH81" s="12"/>
      <c r="CJ81" s="12"/>
      <c r="CK81" s="12"/>
      <c r="CN81" s="12"/>
      <c r="CO81" s="12"/>
      <c r="CT81"/>
      <c r="CV81" s="12"/>
      <c r="CW81" s="12"/>
      <c r="CZ81" s="12"/>
      <c r="DA81" s="12"/>
      <c r="DC81" s="12"/>
      <c r="DD81" s="12"/>
      <c r="DF81" s="17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X81" s="9"/>
      <c r="EY81" s="9"/>
      <c r="EZ81" s="9"/>
      <c r="FA81" s="15"/>
      <c r="FB81" s="14"/>
      <c r="FC81" s="10"/>
      <c r="FD81" s="10"/>
      <c r="FE81" s="10"/>
      <c r="FF81" s="10"/>
      <c r="FG81" s="10"/>
      <c r="FH81" s="10"/>
    </row>
    <row r="82" spans="2:164" x14ac:dyDescent="0.25">
      <c r="B82"/>
      <c r="C82"/>
      <c r="D82"/>
      <c r="E82"/>
      <c r="F82" s="16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 s="16"/>
      <c r="W82"/>
      <c r="X82"/>
      <c r="Y82"/>
      <c r="Z82"/>
      <c r="AA82"/>
      <c r="AB82"/>
      <c r="AC82"/>
      <c r="AD82"/>
      <c r="AE82"/>
      <c r="AF82"/>
      <c r="AG82"/>
      <c r="AH82"/>
      <c r="AI82"/>
      <c r="AJ82" s="12"/>
      <c r="AK82" s="12"/>
      <c r="AL82" s="17"/>
      <c r="AQ82" s="12"/>
      <c r="AR82" s="12"/>
      <c r="AU82" s="12"/>
      <c r="AV82" s="12"/>
      <c r="AW82" s="17"/>
      <c r="AX82" s="12"/>
      <c r="AY82" s="12"/>
      <c r="BA82" s="12"/>
      <c r="BB82" s="12"/>
      <c r="BD82" s="12"/>
      <c r="BE82" s="12"/>
      <c r="BG82" s="12"/>
      <c r="BH82" s="12"/>
      <c r="BJ82" s="12"/>
      <c r="BK82" s="12"/>
      <c r="BM82" s="12"/>
      <c r="BN82" s="12"/>
      <c r="BQ82" s="12"/>
      <c r="BR82" s="12"/>
      <c r="BU82" s="12"/>
      <c r="BV82" s="12"/>
      <c r="BY82" s="12"/>
      <c r="BZ82" s="12"/>
      <c r="CC82" s="12"/>
      <c r="CD82" s="12"/>
      <c r="CE82"/>
      <c r="CG82" s="12"/>
      <c r="CH82" s="12"/>
      <c r="CJ82" s="12"/>
      <c r="CK82" s="12"/>
      <c r="CN82" s="12"/>
      <c r="CO82" s="12"/>
      <c r="CT82"/>
      <c r="CV82" s="12"/>
      <c r="CW82" s="12"/>
      <c r="CZ82" s="12"/>
      <c r="DA82" s="12"/>
      <c r="DB82" s="17"/>
      <c r="DC82" s="12"/>
      <c r="DD82" s="1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X82" s="9"/>
      <c r="EY82" s="9"/>
      <c r="EZ82" s="9"/>
      <c r="FA82" s="15"/>
      <c r="FB82" s="14"/>
      <c r="FC82" s="10"/>
      <c r="FD82" s="10"/>
      <c r="FE82" s="10"/>
      <c r="FF82" s="10"/>
      <c r="FG82" s="10"/>
      <c r="FH82" s="10"/>
    </row>
    <row r="83" spans="2:164" x14ac:dyDescent="0.25">
      <c r="B83"/>
      <c r="C83"/>
      <c r="D83"/>
      <c r="E83"/>
      <c r="F83" s="16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 s="16"/>
      <c r="W83"/>
      <c r="X83"/>
      <c r="Y83"/>
      <c r="Z83"/>
      <c r="AA83"/>
      <c r="AB83"/>
      <c r="AC83"/>
      <c r="AD83"/>
      <c r="AE83"/>
      <c r="AF83"/>
      <c r="AG83"/>
      <c r="AH83"/>
      <c r="AI83"/>
      <c r="AJ83" s="12"/>
      <c r="AK83" s="12"/>
      <c r="AL83" s="17"/>
      <c r="AQ83" s="12"/>
      <c r="AR83" s="12"/>
      <c r="AU83" s="12"/>
      <c r="AV83" s="12"/>
      <c r="AW83" s="17"/>
      <c r="AX83" s="12"/>
      <c r="AY83" s="12"/>
      <c r="BA83" s="12"/>
      <c r="BB83" s="12"/>
      <c r="BD83" s="12"/>
      <c r="BE83" s="12"/>
      <c r="BG83" s="12"/>
      <c r="BH83" s="12"/>
      <c r="BJ83" s="12"/>
      <c r="BK83" s="12"/>
      <c r="BM83" s="12"/>
      <c r="BN83" s="12"/>
      <c r="BQ83" s="12"/>
      <c r="BR83" s="12"/>
      <c r="BU83" s="12"/>
      <c r="BV83" s="12"/>
      <c r="BY83" s="12"/>
      <c r="BZ83" s="12"/>
      <c r="CC83" s="12"/>
      <c r="CD83" s="12"/>
      <c r="CE83"/>
      <c r="CG83" s="12"/>
      <c r="CH83" s="12"/>
      <c r="CJ83" s="12"/>
      <c r="CK83" s="12"/>
      <c r="CN83" s="12"/>
      <c r="CO83" s="12"/>
      <c r="CT83"/>
      <c r="CV83" s="12"/>
      <c r="CW83" s="12"/>
      <c r="CZ83" s="12"/>
      <c r="DA83" s="12"/>
      <c r="DC83" s="12"/>
      <c r="DD83" s="12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X83" s="9"/>
      <c r="EY83" s="9"/>
      <c r="EZ83" s="9"/>
      <c r="FA83" s="15"/>
      <c r="FB83" s="14"/>
      <c r="FC83" s="10"/>
      <c r="FD83" s="10"/>
      <c r="FE83" s="10"/>
      <c r="FF83" s="10"/>
      <c r="FG83" s="10"/>
      <c r="FH83" s="10"/>
    </row>
    <row r="84" spans="2:164" x14ac:dyDescent="0.25">
      <c r="B84"/>
      <c r="C84"/>
      <c r="D84"/>
      <c r="E84"/>
      <c r="F84" s="16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 s="16"/>
      <c r="W84"/>
      <c r="X84"/>
      <c r="Y84"/>
      <c r="Z84"/>
      <c r="AA84"/>
      <c r="AB84"/>
      <c r="AC84"/>
      <c r="AD84"/>
      <c r="AE84"/>
      <c r="AF84"/>
      <c r="AG84"/>
      <c r="AH84"/>
      <c r="AI84"/>
      <c r="AJ84" s="12"/>
      <c r="AK84" s="12"/>
      <c r="AL84" s="17"/>
      <c r="AN84" s="17"/>
      <c r="AP84" s="17"/>
      <c r="AQ84" s="12"/>
      <c r="AR84" s="12"/>
      <c r="AT84" s="17"/>
      <c r="AU84" s="12"/>
      <c r="AV84" s="12"/>
      <c r="AW84" s="17"/>
      <c r="AX84" s="12"/>
      <c r="AY84" s="12"/>
      <c r="BA84" s="12"/>
      <c r="BB84" s="12"/>
      <c r="BD84" s="12"/>
      <c r="BE84" s="12"/>
      <c r="BG84" s="12"/>
      <c r="BH84" s="12"/>
      <c r="BJ84" s="12"/>
      <c r="BK84" s="12"/>
      <c r="BM84" s="12"/>
      <c r="BN84" s="12"/>
      <c r="BQ84" s="12"/>
      <c r="BR84" s="12"/>
      <c r="BU84" s="12"/>
      <c r="BV84" s="12"/>
      <c r="BY84" s="12"/>
      <c r="BZ84" s="12"/>
      <c r="CC84" s="12"/>
      <c r="CD84" s="12"/>
      <c r="CE84"/>
      <c r="CG84" s="12"/>
      <c r="CH84" s="12"/>
      <c r="CJ84" s="12"/>
      <c r="CK84" s="12"/>
      <c r="CN84" s="12"/>
      <c r="CO84" s="12"/>
      <c r="CT84"/>
      <c r="CV84" s="12"/>
      <c r="CW84" s="12"/>
      <c r="CZ84" s="12"/>
      <c r="DA84" s="12"/>
      <c r="DC84" s="12"/>
      <c r="DD84" s="12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X84" s="9"/>
      <c r="EY84" s="9"/>
      <c r="EZ84" s="9"/>
      <c r="FA84" s="15"/>
      <c r="FB84" s="14"/>
      <c r="FC84" s="10"/>
      <c r="FD84" s="10"/>
      <c r="FE84" s="10"/>
      <c r="FF84" s="10"/>
      <c r="FG84" s="10"/>
      <c r="FH84" s="10"/>
    </row>
    <row r="85" spans="2:164" x14ac:dyDescent="0.25">
      <c r="B85"/>
      <c r="C85"/>
      <c r="D85"/>
      <c r="E85"/>
      <c r="F85" s="16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 s="16"/>
      <c r="W85"/>
      <c r="X85"/>
      <c r="Y85"/>
      <c r="Z85"/>
      <c r="AA85"/>
      <c r="AB85"/>
      <c r="AC85"/>
      <c r="AD85"/>
      <c r="AE85"/>
      <c r="AF85"/>
      <c r="AG85"/>
      <c r="AH85"/>
      <c r="AI85"/>
      <c r="AJ85" s="12"/>
      <c r="AK85" s="12"/>
      <c r="AL85" s="17"/>
      <c r="AN85" s="17"/>
      <c r="AP85" s="17"/>
      <c r="AQ85" s="12"/>
      <c r="AR85" s="12"/>
      <c r="AT85" s="17"/>
      <c r="AU85" s="12"/>
      <c r="AV85" s="12"/>
      <c r="AW85" s="17"/>
      <c r="AX85" s="12"/>
      <c r="AY85" s="12"/>
      <c r="BA85" s="12"/>
      <c r="BB85" s="12"/>
      <c r="BC85" s="17"/>
      <c r="BD85" s="12"/>
      <c r="BE85" s="12"/>
      <c r="BG85" s="12"/>
      <c r="BH85" s="12"/>
      <c r="BJ85" s="12"/>
      <c r="BK85" s="12"/>
      <c r="BM85" s="12"/>
      <c r="BN85" s="12"/>
      <c r="BO85" s="17"/>
      <c r="BQ85" s="12"/>
      <c r="BR85" s="12"/>
      <c r="BU85" s="12"/>
      <c r="BV85" s="12"/>
      <c r="BY85" s="12"/>
      <c r="BZ85" s="12"/>
      <c r="CC85" s="12"/>
      <c r="CD85" s="12"/>
      <c r="CE85"/>
      <c r="CG85" s="12"/>
      <c r="CH85" s="12"/>
      <c r="CJ85" s="12"/>
      <c r="CK85" s="12"/>
      <c r="CN85" s="12"/>
      <c r="CO85" s="12"/>
      <c r="CT85"/>
      <c r="CV85" s="12"/>
      <c r="CW85" s="12"/>
      <c r="CZ85" s="12"/>
      <c r="DA85" s="12"/>
      <c r="DC85" s="12"/>
      <c r="DD85" s="12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X85" s="9"/>
      <c r="EY85" s="9"/>
      <c r="EZ85" s="9"/>
      <c r="FA85" s="15"/>
      <c r="FB85" s="14"/>
      <c r="FC85" s="10"/>
      <c r="FD85" s="10"/>
      <c r="FE85" s="10"/>
      <c r="FF85" s="10"/>
      <c r="FG85" s="10"/>
      <c r="FH85" s="10"/>
    </row>
    <row r="86" spans="2:164" x14ac:dyDescent="0.25">
      <c r="B86"/>
      <c r="C86"/>
      <c r="D86"/>
      <c r="E86"/>
      <c r="F86" s="1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 s="16"/>
      <c r="W86"/>
      <c r="X86"/>
      <c r="Y86"/>
      <c r="Z86"/>
      <c r="AA86"/>
      <c r="AB86"/>
      <c r="AC86"/>
      <c r="AD86"/>
      <c r="AE86"/>
      <c r="AF86"/>
      <c r="AG86"/>
      <c r="AH86"/>
      <c r="AI86"/>
      <c r="AJ86" s="12"/>
      <c r="AK86" s="12"/>
      <c r="AL86" s="17"/>
      <c r="AN86" s="17"/>
      <c r="AP86" s="17"/>
      <c r="AQ86" s="12"/>
      <c r="AR86" s="12"/>
      <c r="AT86" s="17"/>
      <c r="AU86" s="12"/>
      <c r="AV86" s="12"/>
      <c r="AW86" s="17"/>
      <c r="AX86" s="12"/>
      <c r="AY86" s="12"/>
      <c r="BA86" s="12"/>
      <c r="BB86" s="12"/>
      <c r="BC86" s="17"/>
      <c r="BD86" s="12"/>
      <c r="BE86" s="12"/>
      <c r="BG86" s="12"/>
      <c r="BH86" s="12"/>
      <c r="BJ86" s="12"/>
      <c r="BK86" s="12"/>
      <c r="BM86" s="12"/>
      <c r="BN86" s="12"/>
      <c r="BO86" s="17"/>
      <c r="BQ86" s="12"/>
      <c r="BR86" s="12"/>
      <c r="BU86" s="12"/>
      <c r="BV86" s="12"/>
      <c r="BY86" s="12"/>
      <c r="BZ86" s="12"/>
      <c r="CC86" s="12"/>
      <c r="CD86" s="12"/>
      <c r="CE86"/>
      <c r="CG86" s="12"/>
      <c r="CH86" s="12"/>
      <c r="CJ86" s="12"/>
      <c r="CK86" s="12"/>
      <c r="CN86" s="12"/>
      <c r="CO86" s="12"/>
      <c r="CT86"/>
      <c r="CV86" s="12"/>
      <c r="CW86" s="12"/>
      <c r="CZ86" s="12"/>
      <c r="DA86" s="12"/>
      <c r="DC86" s="12"/>
      <c r="DD86" s="12"/>
      <c r="DE86" s="17"/>
      <c r="DF86" s="17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X86" s="9"/>
      <c r="EY86" s="9"/>
      <c r="EZ86" s="9"/>
      <c r="FA86" s="15"/>
      <c r="FB86" s="14"/>
      <c r="FC86" s="10"/>
      <c r="FD86" s="10"/>
      <c r="FE86" s="10"/>
      <c r="FF86" s="10"/>
      <c r="FG86" s="10"/>
      <c r="FH86" s="10"/>
    </row>
    <row r="87" spans="2:164" x14ac:dyDescent="0.25">
      <c r="B87"/>
      <c r="C87"/>
      <c r="D87"/>
      <c r="E87"/>
      <c r="F87" s="16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 s="16"/>
      <c r="W87"/>
      <c r="X87"/>
      <c r="Y87"/>
      <c r="Z87"/>
      <c r="AA87"/>
      <c r="AB87"/>
      <c r="AC87"/>
      <c r="AD87"/>
      <c r="AE87"/>
      <c r="AF87"/>
      <c r="AG87"/>
      <c r="AH87"/>
      <c r="AI87"/>
      <c r="AJ87" s="12"/>
      <c r="AK87" s="12"/>
      <c r="AL87" s="17"/>
      <c r="AN87" s="17"/>
      <c r="AP87" s="17"/>
      <c r="AQ87" s="12"/>
      <c r="AR87" s="12"/>
      <c r="AT87" s="17"/>
      <c r="AU87" s="12"/>
      <c r="AV87" s="12"/>
      <c r="AW87" s="17"/>
      <c r="AX87" s="12"/>
      <c r="AY87" s="12"/>
      <c r="BA87" s="12"/>
      <c r="BB87" s="12"/>
      <c r="BD87" s="12"/>
      <c r="BE87" s="12"/>
      <c r="BF87" s="17"/>
      <c r="BG87" s="12"/>
      <c r="BH87" s="12"/>
      <c r="BJ87" s="12"/>
      <c r="BK87" s="12"/>
      <c r="BM87" s="12"/>
      <c r="BN87" s="12"/>
      <c r="BO87" s="17"/>
      <c r="BQ87" s="12"/>
      <c r="BR87" s="12"/>
      <c r="BU87" s="12"/>
      <c r="BV87" s="12"/>
      <c r="BY87" s="12"/>
      <c r="BZ87" s="12"/>
      <c r="CC87" s="12"/>
      <c r="CD87" s="12"/>
      <c r="CE87"/>
      <c r="CG87" s="12"/>
      <c r="CH87" s="12"/>
      <c r="CJ87" s="12"/>
      <c r="CK87" s="12"/>
      <c r="CN87" s="12"/>
      <c r="CO87" s="12"/>
      <c r="CT87"/>
      <c r="CV87" s="12"/>
      <c r="CW87" s="12"/>
      <c r="CZ87" s="12"/>
      <c r="DA87" s="12"/>
      <c r="DC87" s="12"/>
      <c r="DD87" s="12"/>
      <c r="DE87" s="17"/>
      <c r="DF87" s="1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X87" s="9"/>
      <c r="EY87" s="9"/>
      <c r="EZ87" s="9"/>
      <c r="FA87" s="15"/>
      <c r="FB87" s="14"/>
      <c r="FC87" s="10"/>
      <c r="FD87" s="10"/>
      <c r="FE87" s="10"/>
      <c r="FF87" s="10"/>
      <c r="FG87" s="10"/>
      <c r="FH87" s="10"/>
    </row>
    <row r="88" spans="2:164" x14ac:dyDescent="0.25">
      <c r="B88"/>
      <c r="C88"/>
      <c r="D88"/>
      <c r="E88"/>
      <c r="F88" s="16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 s="16"/>
      <c r="W88"/>
      <c r="X88"/>
      <c r="Y88"/>
      <c r="Z88"/>
      <c r="AA88"/>
      <c r="AB88"/>
      <c r="AC88"/>
      <c r="AD88"/>
      <c r="AE88"/>
      <c r="AF88"/>
      <c r="AG88"/>
      <c r="AH88"/>
      <c r="AI88"/>
      <c r="AJ88" s="12"/>
      <c r="AK88" s="12"/>
      <c r="AL88" s="17"/>
      <c r="AN88" s="17"/>
      <c r="AP88" s="17"/>
      <c r="AQ88" s="12"/>
      <c r="AR88" s="12"/>
      <c r="AT88" s="17"/>
      <c r="AU88" s="12"/>
      <c r="AV88" s="12"/>
      <c r="AW88" s="17"/>
      <c r="AX88" s="12"/>
      <c r="AY88" s="12"/>
      <c r="BA88" s="12"/>
      <c r="BB88" s="12"/>
      <c r="BC88" s="17"/>
      <c r="BD88" s="12"/>
      <c r="BE88" s="12"/>
      <c r="BG88" s="12"/>
      <c r="BH88" s="12"/>
      <c r="BJ88" s="12"/>
      <c r="BK88" s="12"/>
      <c r="BM88" s="12"/>
      <c r="BN88" s="12"/>
      <c r="BO88" s="17"/>
      <c r="BQ88" s="12"/>
      <c r="BR88" s="12"/>
      <c r="BU88" s="12"/>
      <c r="BV88" s="12"/>
      <c r="BY88" s="12"/>
      <c r="BZ88" s="12"/>
      <c r="CC88" s="12"/>
      <c r="CD88" s="12"/>
      <c r="CE88"/>
      <c r="CG88" s="12"/>
      <c r="CH88" s="12"/>
      <c r="CJ88" s="12"/>
      <c r="CK88" s="12"/>
      <c r="CN88" s="12"/>
      <c r="CO88" s="12"/>
      <c r="CT88"/>
      <c r="CV88" s="12"/>
      <c r="CW88" s="12"/>
      <c r="CZ88" s="12"/>
      <c r="DA88" s="12"/>
      <c r="DC88" s="12"/>
      <c r="DD88" s="12"/>
      <c r="DE88" s="17"/>
      <c r="DF88" s="17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X88" s="9"/>
      <c r="EY88" s="9"/>
      <c r="EZ88" s="9"/>
      <c r="FA88" s="15"/>
      <c r="FB88" s="14"/>
      <c r="FC88" s="10"/>
      <c r="FD88" s="10"/>
      <c r="FE88" s="10"/>
      <c r="FF88" s="10"/>
      <c r="FG88" s="10"/>
      <c r="FH88" s="10"/>
    </row>
    <row r="89" spans="2:164" x14ac:dyDescent="0.25">
      <c r="B89"/>
      <c r="C89"/>
      <c r="D89"/>
      <c r="E89"/>
      <c r="F89" s="16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 s="16"/>
      <c r="W89"/>
      <c r="X89"/>
      <c r="Y89"/>
      <c r="Z89"/>
      <c r="AA89"/>
      <c r="AB89"/>
      <c r="AC89"/>
      <c r="AD89"/>
      <c r="AE89"/>
      <c r="AF89"/>
      <c r="AG89"/>
      <c r="AH89"/>
      <c r="AI89"/>
      <c r="AJ89" s="12"/>
      <c r="AK89" s="12"/>
      <c r="AL89" s="17"/>
      <c r="AN89" s="17"/>
      <c r="AP89" s="17"/>
      <c r="AQ89" s="12"/>
      <c r="AR89" s="12"/>
      <c r="AT89" s="17"/>
      <c r="AU89" s="12"/>
      <c r="AV89" s="12"/>
      <c r="AW89" s="17"/>
      <c r="AX89" s="12"/>
      <c r="AY89" s="12"/>
      <c r="BA89" s="12"/>
      <c r="BB89" s="12"/>
      <c r="BD89" s="12"/>
      <c r="BE89" s="12"/>
      <c r="BG89" s="12"/>
      <c r="BH89" s="12"/>
      <c r="BJ89" s="12"/>
      <c r="BK89" s="12"/>
      <c r="BM89" s="12"/>
      <c r="BN89" s="12"/>
      <c r="BO89" s="17"/>
      <c r="BQ89" s="12"/>
      <c r="BR89" s="12"/>
      <c r="BU89" s="12"/>
      <c r="BV89" s="12"/>
      <c r="BY89" s="12"/>
      <c r="BZ89" s="12"/>
      <c r="CC89" s="12"/>
      <c r="CD89" s="12"/>
      <c r="CE89"/>
      <c r="CG89" s="12"/>
      <c r="CH89" s="12"/>
      <c r="CJ89" s="12"/>
      <c r="CK89" s="12"/>
      <c r="CN89" s="12"/>
      <c r="CO89" s="12"/>
      <c r="CT89"/>
      <c r="CV89" s="12"/>
      <c r="CW89" s="12"/>
      <c r="CZ89" s="12"/>
      <c r="DA89" s="12"/>
      <c r="DC89" s="12"/>
      <c r="DD89" s="12"/>
      <c r="DE89" s="17"/>
      <c r="DF89" s="17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X89" s="9"/>
      <c r="EY89" s="9"/>
      <c r="EZ89" s="9"/>
      <c r="FA89" s="15"/>
      <c r="FB89" s="14"/>
      <c r="FC89" s="10"/>
      <c r="FD89" s="10"/>
      <c r="FE89" s="10"/>
      <c r="FF89" s="10"/>
      <c r="FG89" s="10"/>
      <c r="FH89" s="10"/>
    </row>
    <row r="90" spans="2:164" x14ac:dyDescent="0.25">
      <c r="B90"/>
      <c r="C90"/>
      <c r="D90"/>
      <c r="E90"/>
      <c r="F90" s="16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 s="16"/>
      <c r="W90"/>
      <c r="X90"/>
      <c r="Y90"/>
      <c r="Z90"/>
      <c r="AA90"/>
      <c r="AB90"/>
      <c r="AC90"/>
      <c r="AD90"/>
      <c r="AE90"/>
      <c r="AF90"/>
      <c r="AG90"/>
      <c r="AH90"/>
      <c r="AI90"/>
      <c r="AJ90" s="12"/>
      <c r="AK90" s="12"/>
      <c r="AL90" s="17"/>
      <c r="AN90" s="17"/>
      <c r="AP90" s="17"/>
      <c r="AQ90" s="12"/>
      <c r="AR90" s="12"/>
      <c r="AT90" s="17"/>
      <c r="AU90" s="12"/>
      <c r="AV90" s="12"/>
      <c r="AW90" s="17"/>
      <c r="AX90" s="12"/>
      <c r="AY90" s="12"/>
      <c r="BA90" s="12"/>
      <c r="BB90" s="12"/>
      <c r="BC90" s="17"/>
      <c r="BD90" s="12"/>
      <c r="BE90" s="12"/>
      <c r="BG90" s="12"/>
      <c r="BH90" s="12"/>
      <c r="BJ90" s="12"/>
      <c r="BK90" s="12"/>
      <c r="BM90" s="12"/>
      <c r="BN90" s="12"/>
      <c r="BO90" s="17"/>
      <c r="BQ90" s="12"/>
      <c r="BR90" s="12"/>
      <c r="BU90" s="12"/>
      <c r="BV90" s="12"/>
      <c r="BY90" s="12"/>
      <c r="BZ90" s="12"/>
      <c r="CC90" s="12"/>
      <c r="CD90" s="12"/>
      <c r="CE90"/>
      <c r="CG90" s="12"/>
      <c r="CH90" s="12"/>
      <c r="CJ90" s="12"/>
      <c r="CK90" s="12"/>
      <c r="CN90" s="12"/>
      <c r="CO90" s="12"/>
      <c r="CT90"/>
      <c r="CV90" s="12"/>
      <c r="CW90" s="12"/>
      <c r="CZ90" s="12"/>
      <c r="DA90" s="12"/>
      <c r="DC90" s="12"/>
      <c r="DD90" s="12"/>
      <c r="DE90" s="17"/>
      <c r="DF90" s="17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X90" s="9"/>
      <c r="EY90" s="9"/>
      <c r="EZ90" s="9"/>
      <c r="FA90" s="15"/>
      <c r="FB90" s="14"/>
      <c r="FC90" s="10"/>
      <c r="FD90" s="10"/>
      <c r="FE90" s="10"/>
      <c r="FF90" s="10"/>
      <c r="FG90" s="10"/>
      <c r="FH90" s="10"/>
    </row>
    <row r="91" spans="2:164" x14ac:dyDescent="0.25">
      <c r="B91"/>
      <c r="C91"/>
      <c r="D91"/>
      <c r="E91"/>
      <c r="F91" s="16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 s="16"/>
      <c r="W91"/>
      <c r="X91"/>
      <c r="Y91"/>
      <c r="Z91"/>
      <c r="AA91"/>
      <c r="AB91"/>
      <c r="AC91"/>
      <c r="AD91"/>
      <c r="AE91"/>
      <c r="AF91"/>
      <c r="AG91"/>
      <c r="AH91"/>
      <c r="AI91"/>
      <c r="AJ91" s="12"/>
      <c r="AK91" s="12"/>
      <c r="AL91" s="17"/>
      <c r="AN91" s="17"/>
      <c r="AP91" s="17"/>
      <c r="AQ91" s="12"/>
      <c r="AR91" s="12"/>
      <c r="AT91" s="17"/>
      <c r="AU91" s="12"/>
      <c r="AV91" s="12"/>
      <c r="AW91" s="17"/>
      <c r="AX91" s="12"/>
      <c r="AY91" s="12"/>
      <c r="BA91" s="12"/>
      <c r="BB91" s="12"/>
      <c r="BC91" s="17"/>
      <c r="BD91" s="12"/>
      <c r="BE91" s="12"/>
      <c r="BG91" s="12"/>
      <c r="BH91" s="12"/>
      <c r="BJ91" s="12"/>
      <c r="BK91" s="12"/>
      <c r="BM91" s="12"/>
      <c r="BN91" s="12"/>
      <c r="BO91" s="17"/>
      <c r="BQ91" s="12"/>
      <c r="BR91" s="12"/>
      <c r="BU91" s="12"/>
      <c r="BV91" s="12"/>
      <c r="BY91" s="12"/>
      <c r="BZ91" s="12"/>
      <c r="CC91" s="12"/>
      <c r="CD91" s="12"/>
      <c r="CE91"/>
      <c r="CG91" s="12"/>
      <c r="CH91" s="12"/>
      <c r="CJ91" s="12"/>
      <c r="CK91" s="12"/>
      <c r="CN91" s="12"/>
      <c r="CO91" s="12"/>
      <c r="CT91"/>
      <c r="CV91" s="12"/>
      <c r="CW91" s="12"/>
      <c r="CZ91" s="12"/>
      <c r="DA91" s="12"/>
      <c r="DC91" s="12"/>
      <c r="DD91" s="12"/>
      <c r="DE91" s="17"/>
      <c r="DF91" s="17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X91" s="9"/>
      <c r="EY91" s="9"/>
      <c r="EZ91" s="9"/>
      <c r="FA91" s="15"/>
      <c r="FB91" s="14"/>
      <c r="FC91" s="10"/>
      <c r="FD91" s="10"/>
      <c r="FE91" s="10"/>
      <c r="FF91" s="10"/>
      <c r="FG91" s="10"/>
      <c r="FH91" s="10"/>
    </row>
    <row r="92" spans="2:164" x14ac:dyDescent="0.25">
      <c r="B92"/>
      <c r="C92"/>
      <c r="D92"/>
      <c r="E92"/>
      <c r="F92" s="16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 s="16"/>
      <c r="W92"/>
      <c r="X92"/>
      <c r="Y92"/>
      <c r="Z92"/>
      <c r="AA92"/>
      <c r="AB92"/>
      <c r="AC92"/>
      <c r="AD92"/>
      <c r="AE92"/>
      <c r="AF92"/>
      <c r="AG92"/>
      <c r="AH92"/>
      <c r="AI92"/>
      <c r="AJ92" s="12"/>
      <c r="AK92" s="12"/>
      <c r="AL92" s="17"/>
      <c r="AN92" s="17"/>
      <c r="AP92" s="17"/>
      <c r="AQ92" s="12"/>
      <c r="AR92" s="12"/>
      <c r="AT92" s="17"/>
      <c r="AU92" s="12"/>
      <c r="AV92" s="12"/>
      <c r="AW92" s="17"/>
      <c r="AX92" s="12"/>
      <c r="AY92" s="12"/>
      <c r="BA92" s="12"/>
      <c r="BB92" s="12"/>
      <c r="BC92" s="17"/>
      <c r="BD92" s="12"/>
      <c r="BE92" s="12"/>
      <c r="BG92" s="12"/>
      <c r="BH92" s="12"/>
      <c r="BJ92" s="12"/>
      <c r="BK92" s="12"/>
      <c r="BM92" s="12"/>
      <c r="BN92" s="12"/>
      <c r="BO92" s="17"/>
      <c r="BQ92" s="12"/>
      <c r="BR92" s="12"/>
      <c r="BU92" s="12"/>
      <c r="BV92" s="12"/>
      <c r="BY92" s="12"/>
      <c r="BZ92" s="12"/>
      <c r="CC92" s="12"/>
      <c r="CD92" s="12"/>
      <c r="CE92"/>
      <c r="CG92" s="12"/>
      <c r="CH92" s="12"/>
      <c r="CJ92" s="12"/>
      <c r="CK92" s="12"/>
      <c r="CN92" s="12"/>
      <c r="CO92" s="12"/>
      <c r="CT92"/>
      <c r="CV92" s="12"/>
      <c r="CW92" s="12"/>
      <c r="CZ92" s="12"/>
      <c r="DA92" s="12"/>
      <c r="DC92" s="12"/>
      <c r="DD92" s="12"/>
      <c r="DE92" s="17"/>
      <c r="DF92" s="17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X92" s="9"/>
      <c r="EY92" s="9"/>
      <c r="EZ92" s="9"/>
      <c r="FA92" s="15"/>
      <c r="FB92" s="14"/>
      <c r="FC92" s="10"/>
      <c r="FD92" s="10"/>
      <c r="FE92" s="10"/>
      <c r="FF92" s="10"/>
      <c r="FG92" s="10"/>
      <c r="FH92" s="10"/>
    </row>
    <row r="93" spans="2:164" x14ac:dyDescent="0.25">
      <c r="B93"/>
      <c r="C93"/>
      <c r="D93"/>
      <c r="E93"/>
      <c r="F93" s="16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 s="16"/>
      <c r="W93"/>
      <c r="X93"/>
      <c r="Y93"/>
      <c r="Z93"/>
      <c r="AA93"/>
      <c r="AB93"/>
      <c r="AC93"/>
      <c r="AD93"/>
      <c r="AE93"/>
      <c r="AF93"/>
      <c r="AG93"/>
      <c r="AH93"/>
      <c r="AI93"/>
      <c r="AJ93" s="12"/>
      <c r="AK93" s="12"/>
      <c r="AL93" s="17"/>
      <c r="AN93" s="17"/>
      <c r="AP93" s="17"/>
      <c r="AQ93" s="12"/>
      <c r="AR93" s="12"/>
      <c r="AT93" s="17"/>
      <c r="AU93" s="12"/>
      <c r="AV93" s="12"/>
      <c r="AW93" s="17"/>
      <c r="AX93" s="12"/>
      <c r="AY93" s="12"/>
      <c r="BA93" s="12"/>
      <c r="BB93" s="12"/>
      <c r="BC93" s="17"/>
      <c r="BD93" s="12"/>
      <c r="BE93" s="12"/>
      <c r="BG93" s="12"/>
      <c r="BH93" s="12"/>
      <c r="BJ93" s="12"/>
      <c r="BK93" s="12"/>
      <c r="BM93" s="12"/>
      <c r="BN93" s="12"/>
      <c r="BO93" s="17"/>
      <c r="BQ93" s="12"/>
      <c r="BR93" s="12"/>
      <c r="BU93" s="12"/>
      <c r="BV93" s="12"/>
      <c r="BY93" s="12"/>
      <c r="BZ93" s="12"/>
      <c r="CC93" s="12"/>
      <c r="CD93" s="12"/>
      <c r="CE93"/>
      <c r="CG93" s="12"/>
      <c r="CH93" s="12"/>
      <c r="CJ93" s="12"/>
      <c r="CK93" s="12"/>
      <c r="CN93" s="12"/>
      <c r="CO93" s="12"/>
      <c r="CT93"/>
      <c r="CV93" s="12"/>
      <c r="CW93" s="12"/>
      <c r="CZ93" s="12"/>
      <c r="DA93" s="12"/>
      <c r="DC93" s="12"/>
      <c r="DD93" s="12"/>
      <c r="DF93" s="17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X93" s="9"/>
      <c r="EY93" s="9"/>
      <c r="EZ93" s="9"/>
      <c r="FA93" s="15"/>
      <c r="FB93" s="14"/>
      <c r="FC93" s="10"/>
      <c r="FD93" s="10"/>
      <c r="FE93" s="10"/>
      <c r="FF93" s="10"/>
      <c r="FG93" s="10"/>
      <c r="FH93" s="10"/>
    </row>
    <row r="94" spans="2:164" x14ac:dyDescent="0.25">
      <c r="B94"/>
      <c r="C94"/>
      <c r="D94"/>
      <c r="E94"/>
      <c r="F94" s="16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 s="16"/>
      <c r="W94"/>
      <c r="X94"/>
      <c r="Y94"/>
      <c r="Z94"/>
      <c r="AA94"/>
      <c r="AB94"/>
      <c r="AC94"/>
      <c r="AD94"/>
      <c r="AE94"/>
      <c r="AF94"/>
      <c r="AG94"/>
      <c r="AH94"/>
      <c r="AI94"/>
      <c r="AJ94" s="12"/>
      <c r="AK94" s="12"/>
      <c r="AL94" s="17"/>
      <c r="AN94" s="17"/>
      <c r="AP94" s="17"/>
      <c r="AQ94" s="12"/>
      <c r="AR94" s="12"/>
      <c r="AT94" s="17"/>
      <c r="AU94" s="12"/>
      <c r="AV94" s="12"/>
      <c r="AW94" s="17"/>
      <c r="AX94" s="12"/>
      <c r="AY94" s="12"/>
      <c r="BA94" s="12"/>
      <c r="BB94" s="12"/>
      <c r="BC94" s="17"/>
      <c r="BD94" s="12"/>
      <c r="BE94" s="12"/>
      <c r="BG94" s="12"/>
      <c r="BH94" s="12"/>
      <c r="BJ94" s="12"/>
      <c r="BK94" s="12"/>
      <c r="BM94" s="12"/>
      <c r="BN94" s="12"/>
      <c r="BO94" s="17"/>
      <c r="BQ94" s="12"/>
      <c r="BR94" s="12"/>
      <c r="BU94" s="12"/>
      <c r="BV94" s="12"/>
      <c r="BY94" s="12"/>
      <c r="BZ94" s="12"/>
      <c r="CC94" s="12"/>
      <c r="CD94" s="12"/>
      <c r="CE94"/>
      <c r="CG94" s="12"/>
      <c r="CH94" s="12"/>
      <c r="CJ94" s="12"/>
      <c r="CK94" s="12"/>
      <c r="CN94" s="12"/>
      <c r="CO94" s="12"/>
      <c r="CT94"/>
      <c r="CV94" s="12"/>
      <c r="CW94" s="12"/>
      <c r="CZ94" s="12"/>
      <c r="DA94" s="12"/>
      <c r="DC94" s="12"/>
      <c r="DD94" s="12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X94" s="9"/>
      <c r="EY94" s="9"/>
      <c r="EZ94" s="9"/>
      <c r="FA94" s="15"/>
      <c r="FB94" s="14"/>
      <c r="FC94" s="10"/>
      <c r="FD94" s="10"/>
      <c r="FE94" s="10"/>
      <c r="FF94" s="10"/>
      <c r="FG94" s="10"/>
      <c r="FH94" s="10"/>
    </row>
    <row r="95" spans="2:164" x14ac:dyDescent="0.25">
      <c r="B95"/>
      <c r="C95"/>
      <c r="D95"/>
      <c r="E95"/>
      <c r="F95" s="16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 s="16"/>
      <c r="W95"/>
      <c r="X95"/>
      <c r="Y95"/>
      <c r="Z95"/>
      <c r="AA95"/>
      <c r="AB95"/>
      <c r="AC95"/>
      <c r="AD95"/>
      <c r="AE95"/>
      <c r="AF95"/>
      <c r="AG95"/>
      <c r="AH95"/>
      <c r="AI95"/>
      <c r="AJ95" s="12"/>
      <c r="AK95" s="12"/>
      <c r="AL95" s="17"/>
      <c r="AN95" s="17"/>
      <c r="AP95" s="17"/>
      <c r="AQ95" s="12"/>
      <c r="AR95" s="12"/>
      <c r="AT95" s="17"/>
      <c r="AU95" s="12"/>
      <c r="AV95" s="12"/>
      <c r="AW95" s="17"/>
      <c r="AX95" s="12"/>
      <c r="AY95" s="12"/>
      <c r="BA95" s="12"/>
      <c r="BB95" s="12"/>
      <c r="BC95" s="17"/>
      <c r="BD95" s="12"/>
      <c r="BE95" s="12"/>
      <c r="BG95" s="12"/>
      <c r="BH95" s="12"/>
      <c r="BJ95" s="12"/>
      <c r="BK95" s="12"/>
      <c r="BM95" s="12"/>
      <c r="BN95" s="12"/>
      <c r="BO95" s="17"/>
      <c r="BQ95" s="12"/>
      <c r="BR95" s="12"/>
      <c r="BU95" s="12"/>
      <c r="BV95" s="12"/>
      <c r="BY95" s="12"/>
      <c r="BZ95" s="12"/>
      <c r="CC95" s="12"/>
      <c r="CD95" s="12"/>
      <c r="CE95"/>
      <c r="CG95" s="12"/>
      <c r="CH95" s="12"/>
      <c r="CJ95" s="12"/>
      <c r="CK95" s="12"/>
      <c r="CN95" s="12"/>
      <c r="CO95" s="12"/>
      <c r="CT95"/>
      <c r="CV95" s="12"/>
      <c r="CW95" s="12"/>
      <c r="CZ95" s="12"/>
      <c r="DA95" s="12"/>
      <c r="DC95" s="12"/>
      <c r="DD95" s="12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X95" s="9"/>
      <c r="EY95" s="9"/>
      <c r="EZ95" s="9"/>
      <c r="FA95" s="15"/>
      <c r="FB95" s="14"/>
      <c r="FC95" s="10"/>
      <c r="FD95" s="10"/>
      <c r="FE95" s="10"/>
      <c r="FF95" s="10"/>
      <c r="FG95" s="10"/>
      <c r="FH95" s="10"/>
    </row>
    <row r="96" spans="2:164" x14ac:dyDescent="0.25">
      <c r="B96"/>
      <c r="C96"/>
      <c r="D96"/>
      <c r="E96"/>
      <c r="F96" s="1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 s="16"/>
      <c r="W96"/>
      <c r="X96"/>
      <c r="Y96"/>
      <c r="Z96"/>
      <c r="AA96"/>
      <c r="AB96"/>
      <c r="AC96"/>
      <c r="AD96"/>
      <c r="AE96"/>
      <c r="AF96"/>
      <c r="AG96"/>
      <c r="AH96"/>
      <c r="AI96"/>
      <c r="AJ96" s="12"/>
      <c r="AK96" s="12"/>
      <c r="AL96" s="17"/>
      <c r="AN96" s="17"/>
      <c r="AP96" s="17"/>
      <c r="AQ96" s="12"/>
      <c r="AR96" s="12"/>
      <c r="AT96" s="17"/>
      <c r="AU96" s="12"/>
      <c r="AV96" s="12"/>
      <c r="AW96" s="17"/>
      <c r="AX96" s="12"/>
      <c r="AY96" s="12"/>
      <c r="BA96" s="12"/>
      <c r="BB96" s="12"/>
      <c r="BC96" s="17"/>
      <c r="BD96" s="12"/>
      <c r="BE96" s="12"/>
      <c r="BG96" s="12"/>
      <c r="BH96" s="12"/>
      <c r="BJ96" s="12"/>
      <c r="BK96" s="12"/>
      <c r="BM96" s="12"/>
      <c r="BN96" s="12"/>
      <c r="BQ96" s="12"/>
      <c r="BR96" s="12"/>
      <c r="BU96" s="12"/>
      <c r="BV96" s="12"/>
      <c r="BY96" s="12"/>
      <c r="BZ96" s="12"/>
      <c r="CC96" s="12"/>
      <c r="CD96" s="12"/>
      <c r="CE96"/>
      <c r="CG96" s="12"/>
      <c r="CH96" s="12"/>
      <c r="CJ96" s="12"/>
      <c r="CK96" s="12"/>
      <c r="CN96" s="12"/>
      <c r="CO96" s="12"/>
      <c r="CT96"/>
      <c r="CV96" s="12"/>
      <c r="CW96" s="12"/>
      <c r="CZ96" s="12"/>
      <c r="DA96" s="12"/>
      <c r="DB96" s="17"/>
      <c r="DC96" s="12"/>
      <c r="DD96" s="12"/>
      <c r="DE96" s="17"/>
      <c r="DF96" s="17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X96" s="9"/>
      <c r="EY96" s="9"/>
      <c r="EZ96" s="9"/>
      <c r="FA96" s="15"/>
      <c r="FB96" s="14"/>
      <c r="FC96" s="10"/>
      <c r="FD96" s="10"/>
      <c r="FE96" s="10"/>
      <c r="FF96" s="10"/>
      <c r="FG96" s="10"/>
      <c r="FH96" s="10"/>
    </row>
    <row r="97" spans="2:164" x14ac:dyDescent="0.25">
      <c r="B97"/>
      <c r="C97"/>
      <c r="D97"/>
      <c r="E97"/>
      <c r="F97" s="16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 s="16"/>
      <c r="W97"/>
      <c r="X97"/>
      <c r="Y97"/>
      <c r="Z97"/>
      <c r="AA97"/>
      <c r="AB97"/>
      <c r="AC97"/>
      <c r="AD97"/>
      <c r="AE97"/>
      <c r="AF97"/>
      <c r="AG97"/>
      <c r="AH97"/>
      <c r="AI97"/>
      <c r="AJ97" s="12"/>
      <c r="AK97" s="12"/>
      <c r="AL97" s="17"/>
      <c r="AN97" s="17"/>
      <c r="AP97" s="17"/>
      <c r="AQ97" s="12"/>
      <c r="AR97" s="12"/>
      <c r="AT97" s="17"/>
      <c r="AU97" s="12"/>
      <c r="AV97" s="12"/>
      <c r="AW97" s="17"/>
      <c r="AX97" s="12"/>
      <c r="AY97" s="12"/>
      <c r="BA97" s="12"/>
      <c r="BB97" s="12"/>
      <c r="BC97" s="17"/>
      <c r="BD97" s="12"/>
      <c r="BE97" s="12"/>
      <c r="BG97" s="12"/>
      <c r="BH97" s="12"/>
      <c r="BJ97" s="12"/>
      <c r="BK97" s="12"/>
      <c r="BM97" s="12"/>
      <c r="BN97" s="12"/>
      <c r="BO97" s="17"/>
      <c r="BQ97" s="12"/>
      <c r="BR97" s="12"/>
      <c r="BU97" s="12"/>
      <c r="BV97" s="12"/>
      <c r="BY97" s="12"/>
      <c r="BZ97" s="12"/>
      <c r="CC97" s="12"/>
      <c r="CD97" s="12"/>
      <c r="CE97"/>
      <c r="CG97" s="12"/>
      <c r="CH97" s="12"/>
      <c r="CJ97" s="12"/>
      <c r="CK97" s="12"/>
      <c r="CN97" s="12"/>
      <c r="CO97" s="12"/>
      <c r="CT97"/>
      <c r="CV97" s="12"/>
      <c r="CW97" s="12"/>
      <c r="CZ97" s="12"/>
      <c r="DA97" s="12"/>
      <c r="DC97" s="12"/>
      <c r="DD97" s="12"/>
      <c r="DE97" s="17"/>
      <c r="DF97" s="1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X97" s="9"/>
      <c r="EY97" s="9"/>
      <c r="EZ97" s="9"/>
      <c r="FA97" s="15"/>
      <c r="FB97" s="14"/>
      <c r="FC97" s="10"/>
      <c r="FD97" s="10"/>
      <c r="FE97" s="10"/>
      <c r="FF97" s="10"/>
      <c r="FG97" s="10"/>
      <c r="FH97" s="10"/>
    </row>
    <row r="98" spans="2:164" x14ac:dyDescent="0.25">
      <c r="B98"/>
      <c r="C98"/>
      <c r="D98"/>
      <c r="E98"/>
      <c r="F98" s="16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 s="16"/>
      <c r="W98"/>
      <c r="X98"/>
      <c r="Y98"/>
      <c r="Z98"/>
      <c r="AA98"/>
      <c r="AB98"/>
      <c r="AC98"/>
      <c r="AD98"/>
      <c r="AE98"/>
      <c r="AF98"/>
      <c r="AG98"/>
      <c r="AH98"/>
      <c r="AI98"/>
      <c r="AJ98" s="12"/>
      <c r="AK98" s="12"/>
      <c r="AL98" s="17"/>
      <c r="AN98" s="17"/>
      <c r="AP98" s="17"/>
      <c r="AQ98" s="12"/>
      <c r="AR98" s="12"/>
      <c r="AT98" s="17"/>
      <c r="AU98" s="12"/>
      <c r="AV98" s="12"/>
      <c r="AW98" s="17"/>
      <c r="AX98" s="12"/>
      <c r="AY98" s="12"/>
      <c r="BA98" s="12"/>
      <c r="BB98" s="12"/>
      <c r="BD98" s="12"/>
      <c r="BE98" s="12"/>
      <c r="BG98" s="12"/>
      <c r="BH98" s="12"/>
      <c r="BJ98" s="12"/>
      <c r="BK98" s="12"/>
      <c r="BM98" s="12"/>
      <c r="BN98" s="12"/>
      <c r="BO98" s="17"/>
      <c r="BQ98" s="12"/>
      <c r="BR98" s="12"/>
      <c r="BU98" s="12"/>
      <c r="BV98" s="12"/>
      <c r="BY98" s="12"/>
      <c r="BZ98" s="12"/>
      <c r="CC98" s="12"/>
      <c r="CD98" s="12"/>
      <c r="CE98"/>
      <c r="CG98" s="12"/>
      <c r="CH98" s="12"/>
      <c r="CJ98" s="12"/>
      <c r="CK98" s="12"/>
      <c r="CN98" s="12"/>
      <c r="CO98" s="12"/>
      <c r="CT98"/>
      <c r="CV98" s="12"/>
      <c r="CW98" s="12"/>
      <c r="CZ98" s="12"/>
      <c r="DA98" s="12"/>
      <c r="DC98" s="12"/>
      <c r="DD98" s="12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X98" s="9"/>
      <c r="EY98" s="9"/>
      <c r="EZ98" s="9"/>
      <c r="FA98" s="15"/>
      <c r="FB98" s="14"/>
      <c r="FC98" s="10"/>
      <c r="FD98" s="10"/>
      <c r="FE98" s="10"/>
      <c r="FF98" s="10"/>
      <c r="FG98" s="10"/>
      <c r="FH98" s="10"/>
    </row>
    <row r="99" spans="2:164" x14ac:dyDescent="0.25">
      <c r="B99"/>
      <c r="C99"/>
      <c r="D99"/>
      <c r="E99"/>
      <c r="F99" s="16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 s="16"/>
      <c r="W99"/>
      <c r="X99"/>
      <c r="Y99"/>
      <c r="Z99"/>
      <c r="AA99"/>
      <c r="AB99"/>
      <c r="AC99"/>
      <c r="AD99"/>
      <c r="AE99"/>
      <c r="AF99"/>
      <c r="AG99"/>
      <c r="AH99"/>
      <c r="AI99"/>
      <c r="AJ99" s="12"/>
      <c r="AK99" s="12"/>
      <c r="AL99" s="17"/>
      <c r="AN99" s="17"/>
      <c r="AP99" s="17"/>
      <c r="AQ99" s="12"/>
      <c r="AR99" s="12"/>
      <c r="AT99" s="17"/>
      <c r="AU99" s="12"/>
      <c r="AV99" s="12"/>
      <c r="AW99" s="17"/>
      <c r="AX99" s="12"/>
      <c r="AY99" s="12"/>
      <c r="BA99" s="12"/>
      <c r="BB99" s="12"/>
      <c r="BC99" s="17"/>
      <c r="BD99" s="12"/>
      <c r="BE99" s="12"/>
      <c r="BG99" s="12"/>
      <c r="BH99" s="12"/>
      <c r="BJ99" s="12"/>
      <c r="BK99" s="12"/>
      <c r="BM99" s="12"/>
      <c r="BN99" s="12"/>
      <c r="BO99" s="17"/>
      <c r="BQ99" s="12"/>
      <c r="BR99" s="12"/>
      <c r="BU99" s="12"/>
      <c r="BV99" s="12"/>
      <c r="BY99" s="12"/>
      <c r="BZ99" s="12"/>
      <c r="CC99" s="12"/>
      <c r="CD99" s="12"/>
      <c r="CE99"/>
      <c r="CG99" s="12"/>
      <c r="CH99" s="12"/>
      <c r="CJ99" s="12"/>
      <c r="CK99" s="12"/>
      <c r="CN99" s="12"/>
      <c r="CO99" s="12"/>
      <c r="CT99"/>
      <c r="CV99" s="12"/>
      <c r="CW99" s="12"/>
      <c r="CZ99" s="12"/>
      <c r="DA99" s="12"/>
      <c r="DC99" s="12"/>
      <c r="DD99" s="12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X99" s="9"/>
      <c r="EY99" s="9"/>
      <c r="EZ99" s="9"/>
      <c r="FA99" s="15"/>
      <c r="FB99" s="14"/>
      <c r="FC99" s="10"/>
      <c r="FD99" s="10"/>
      <c r="FE99" s="10"/>
      <c r="FF99" s="10"/>
      <c r="FG99" s="10"/>
      <c r="FH99" s="10"/>
    </row>
    <row r="100" spans="2:164" x14ac:dyDescent="0.25">
      <c r="B100"/>
      <c r="C100"/>
      <c r="D100"/>
      <c r="E100"/>
      <c r="F100" s="16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 s="16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s="12"/>
      <c r="AK100" s="12"/>
      <c r="AL100" s="17"/>
      <c r="AN100" s="17"/>
      <c r="AP100" s="17"/>
      <c r="AQ100" s="12"/>
      <c r="AR100" s="12"/>
      <c r="AT100" s="17"/>
      <c r="AU100" s="12"/>
      <c r="AV100" s="12"/>
      <c r="AW100" s="17"/>
      <c r="AX100" s="12"/>
      <c r="AY100" s="12"/>
      <c r="BA100" s="12"/>
      <c r="BB100" s="12"/>
      <c r="BD100" s="12"/>
      <c r="BE100" s="12"/>
      <c r="BG100" s="12"/>
      <c r="BH100" s="12"/>
      <c r="BJ100" s="12"/>
      <c r="BK100" s="12"/>
      <c r="BM100" s="12"/>
      <c r="BN100" s="12"/>
      <c r="BO100" s="17"/>
      <c r="BQ100" s="12"/>
      <c r="BR100" s="12"/>
      <c r="BU100" s="12"/>
      <c r="BV100" s="12"/>
      <c r="BY100" s="12"/>
      <c r="BZ100" s="12"/>
      <c r="CC100" s="12"/>
      <c r="CD100" s="12"/>
      <c r="CE100"/>
      <c r="CG100" s="12"/>
      <c r="CH100" s="12"/>
      <c r="CJ100" s="12"/>
      <c r="CK100" s="12"/>
      <c r="CN100" s="12"/>
      <c r="CO100" s="12"/>
      <c r="CT100"/>
      <c r="CV100" s="12"/>
      <c r="CW100" s="12"/>
      <c r="CZ100" s="12"/>
      <c r="DA100" s="12"/>
      <c r="DC100" s="12"/>
      <c r="DD100" s="12"/>
      <c r="DE100" s="17"/>
      <c r="DF100" s="17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X100" s="9"/>
      <c r="EY100" s="9"/>
      <c r="EZ100" s="9"/>
      <c r="FA100" s="15"/>
      <c r="FB100" s="14"/>
      <c r="FC100" s="10"/>
      <c r="FD100" s="10"/>
      <c r="FE100" s="10"/>
      <c r="FF100" s="10"/>
      <c r="FG100" s="10"/>
      <c r="FH100" s="10"/>
    </row>
    <row r="101" spans="2:164" x14ac:dyDescent="0.25">
      <c r="B101"/>
      <c r="C101"/>
      <c r="D101"/>
      <c r="E101"/>
      <c r="F101" s="16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 s="16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 s="12"/>
      <c r="AK101" s="12"/>
      <c r="AL101" s="17"/>
      <c r="AN101" s="17"/>
      <c r="AP101" s="17"/>
      <c r="AQ101" s="12"/>
      <c r="AR101" s="12"/>
      <c r="AT101" s="17"/>
      <c r="AU101" s="12"/>
      <c r="AV101" s="12"/>
      <c r="AW101" s="17"/>
      <c r="AX101" s="12"/>
      <c r="AY101" s="12"/>
      <c r="BA101" s="12"/>
      <c r="BB101" s="12"/>
      <c r="BC101" s="17"/>
      <c r="BD101" s="12"/>
      <c r="BE101" s="12"/>
      <c r="BG101" s="12"/>
      <c r="BH101" s="12"/>
      <c r="BJ101" s="12"/>
      <c r="BK101" s="12"/>
      <c r="BM101" s="12"/>
      <c r="BN101" s="12"/>
      <c r="BO101" s="17"/>
      <c r="BQ101" s="12"/>
      <c r="BR101" s="12"/>
      <c r="BU101" s="12"/>
      <c r="BV101" s="12"/>
      <c r="BY101" s="12"/>
      <c r="BZ101" s="12"/>
      <c r="CC101" s="12"/>
      <c r="CD101" s="12"/>
      <c r="CE101"/>
      <c r="CG101" s="12"/>
      <c r="CH101" s="12"/>
      <c r="CI101" s="17"/>
      <c r="CJ101" s="12"/>
      <c r="CK101" s="12"/>
      <c r="CN101" s="12"/>
      <c r="CO101" s="12"/>
      <c r="CT101"/>
      <c r="CV101" s="12"/>
      <c r="CW101" s="12"/>
      <c r="CZ101" s="12"/>
      <c r="DA101" s="12"/>
      <c r="DC101" s="12"/>
      <c r="DD101" s="12"/>
      <c r="DE101" s="17"/>
      <c r="DF101" s="17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X101" s="9"/>
      <c r="EY101" s="9"/>
      <c r="EZ101" s="9"/>
      <c r="FA101" s="15"/>
      <c r="FB101" s="14"/>
      <c r="FC101" s="10"/>
      <c r="FD101" s="10"/>
      <c r="FE101" s="10"/>
      <c r="FF101" s="10"/>
      <c r="FG101" s="10"/>
      <c r="FH101" s="10"/>
    </row>
    <row r="102" spans="2:164" x14ac:dyDescent="0.25">
      <c r="B102"/>
      <c r="C102"/>
      <c r="D102"/>
      <c r="E102"/>
      <c r="F102" s="16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s="16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s="12"/>
      <c r="AK102" s="12"/>
      <c r="AL102" s="17"/>
      <c r="AN102" s="17"/>
      <c r="AP102" s="17"/>
      <c r="AQ102" s="12"/>
      <c r="AR102" s="12"/>
      <c r="AT102" s="17"/>
      <c r="AU102" s="12"/>
      <c r="AV102" s="12"/>
      <c r="AW102" s="17"/>
      <c r="AX102" s="12"/>
      <c r="AY102" s="12"/>
      <c r="BA102" s="12"/>
      <c r="BB102" s="12"/>
      <c r="BD102" s="12"/>
      <c r="BE102" s="12"/>
      <c r="BG102" s="12"/>
      <c r="BH102" s="12"/>
      <c r="BJ102" s="12"/>
      <c r="BK102" s="12"/>
      <c r="BM102" s="12"/>
      <c r="BN102" s="12"/>
      <c r="BO102" s="17"/>
      <c r="BQ102" s="12"/>
      <c r="BR102" s="12"/>
      <c r="BU102" s="12"/>
      <c r="BV102" s="12"/>
      <c r="BY102" s="12"/>
      <c r="BZ102" s="12"/>
      <c r="CC102" s="12"/>
      <c r="CD102" s="12"/>
      <c r="CE102"/>
      <c r="CG102" s="12"/>
      <c r="CH102" s="12"/>
      <c r="CJ102" s="12"/>
      <c r="CK102" s="12"/>
      <c r="CN102" s="12"/>
      <c r="CO102" s="12"/>
      <c r="CT102"/>
      <c r="CV102" s="12"/>
      <c r="CW102" s="12"/>
      <c r="CZ102" s="12"/>
      <c r="DA102" s="12"/>
      <c r="DC102" s="12"/>
      <c r="DD102" s="1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X102" s="9"/>
      <c r="EY102" s="9"/>
      <c r="EZ102" s="9"/>
      <c r="FA102" s="15"/>
      <c r="FB102" s="14"/>
      <c r="FC102" s="10"/>
      <c r="FD102" s="10"/>
      <c r="FE102" s="10"/>
      <c r="FF102" s="10"/>
      <c r="FG102" s="10"/>
      <c r="FH102" s="10"/>
    </row>
    <row r="103" spans="2:164" x14ac:dyDescent="0.25">
      <c r="B103"/>
      <c r="C103"/>
      <c r="D103"/>
      <c r="E103"/>
      <c r="F103" s="16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 s="16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 s="12"/>
      <c r="AK103" s="12"/>
      <c r="AL103" s="17"/>
      <c r="AN103" s="17"/>
      <c r="AP103" s="17"/>
      <c r="AQ103" s="12"/>
      <c r="AR103" s="12"/>
      <c r="AT103" s="17"/>
      <c r="AU103" s="12"/>
      <c r="AV103" s="12"/>
      <c r="AW103" s="17"/>
      <c r="AX103" s="12"/>
      <c r="AY103" s="12"/>
      <c r="BA103" s="12"/>
      <c r="BB103" s="12"/>
      <c r="BD103" s="12"/>
      <c r="BE103" s="12"/>
      <c r="BG103" s="12"/>
      <c r="BH103" s="12"/>
      <c r="BJ103" s="12"/>
      <c r="BK103" s="12"/>
      <c r="BM103" s="12"/>
      <c r="BN103" s="12"/>
      <c r="BQ103" s="12"/>
      <c r="BR103" s="12"/>
      <c r="BU103" s="12"/>
      <c r="BV103" s="12"/>
      <c r="BY103" s="12"/>
      <c r="BZ103" s="12"/>
      <c r="CC103" s="12"/>
      <c r="CD103" s="12"/>
      <c r="CE103"/>
      <c r="CG103" s="12"/>
      <c r="CH103" s="12"/>
      <c r="CJ103" s="12"/>
      <c r="CK103" s="12"/>
      <c r="CN103" s="12"/>
      <c r="CO103" s="12"/>
      <c r="CT103"/>
      <c r="CV103" s="12"/>
      <c r="CW103" s="12"/>
      <c r="CZ103" s="12"/>
      <c r="DA103" s="12"/>
      <c r="DC103" s="12"/>
      <c r="DD103" s="12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X103" s="9"/>
      <c r="EY103" s="9"/>
      <c r="EZ103" s="9"/>
      <c r="FA103" s="15"/>
      <c r="FB103" s="14"/>
      <c r="FC103" s="10"/>
      <c r="FD103" s="10"/>
      <c r="FE103" s="10"/>
      <c r="FF103" s="10"/>
      <c r="FG103" s="10"/>
      <c r="FH103" s="10"/>
    </row>
    <row r="104" spans="2:164" x14ac:dyDescent="0.25">
      <c r="B104"/>
      <c r="C104"/>
      <c r="D104"/>
      <c r="E104"/>
      <c r="F104" s="16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 s="16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s="12"/>
      <c r="AK104" s="12"/>
      <c r="AL104" s="17"/>
      <c r="AN104" s="17"/>
      <c r="AP104" s="17"/>
      <c r="AQ104" s="12"/>
      <c r="AR104" s="12"/>
      <c r="AT104" s="17"/>
      <c r="AU104" s="12"/>
      <c r="AV104" s="12"/>
      <c r="AW104" s="17"/>
      <c r="AX104" s="12"/>
      <c r="AY104" s="12"/>
      <c r="BA104" s="12"/>
      <c r="BB104" s="12"/>
      <c r="BD104" s="12"/>
      <c r="BE104" s="12"/>
      <c r="BG104" s="12"/>
      <c r="BH104" s="12"/>
      <c r="BJ104" s="12"/>
      <c r="BK104" s="12"/>
      <c r="BM104" s="12"/>
      <c r="BN104" s="12"/>
      <c r="BO104" s="17"/>
      <c r="BQ104" s="12"/>
      <c r="BR104" s="12"/>
      <c r="BS104" s="17"/>
      <c r="BT104" s="17"/>
      <c r="BU104" s="12"/>
      <c r="BV104" s="12"/>
      <c r="BY104" s="12"/>
      <c r="BZ104" s="12"/>
      <c r="CC104" s="12"/>
      <c r="CD104" s="12"/>
      <c r="CE104"/>
      <c r="CG104" s="12"/>
      <c r="CH104" s="12"/>
      <c r="CI104" s="17"/>
      <c r="CJ104" s="12"/>
      <c r="CK104" s="12"/>
      <c r="CN104" s="12"/>
      <c r="CO104" s="12"/>
      <c r="CT104"/>
      <c r="CV104" s="12"/>
      <c r="CW104" s="12"/>
      <c r="CZ104" s="12"/>
      <c r="DA104" s="12"/>
      <c r="DC104" s="12"/>
      <c r="DD104" s="12"/>
      <c r="DE104" s="17"/>
      <c r="DF104" s="17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X104" s="9"/>
      <c r="EY104" s="9"/>
      <c r="EZ104" s="9"/>
      <c r="FA104" s="15"/>
      <c r="FB104" s="14"/>
      <c r="FC104" s="10"/>
      <c r="FD104" s="10"/>
      <c r="FE104" s="10"/>
      <c r="FF104" s="10"/>
      <c r="FG104" s="10"/>
      <c r="FH104" s="10"/>
    </row>
    <row r="105" spans="2:164" x14ac:dyDescent="0.25">
      <c r="B105"/>
      <c r="C105"/>
      <c r="D105"/>
      <c r="E105"/>
      <c r="F105" s="16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 s="16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s="12"/>
      <c r="AK105" s="12"/>
      <c r="AL105" s="17"/>
      <c r="AN105" s="17"/>
      <c r="AP105" s="17"/>
      <c r="AQ105" s="12"/>
      <c r="AR105" s="12"/>
      <c r="AT105" s="17"/>
      <c r="AU105" s="12"/>
      <c r="AV105" s="12"/>
      <c r="AW105" s="17"/>
      <c r="AX105" s="12"/>
      <c r="AY105" s="12"/>
      <c r="BA105" s="12"/>
      <c r="BB105" s="12"/>
      <c r="BD105" s="12"/>
      <c r="BE105" s="12"/>
      <c r="BG105" s="12"/>
      <c r="BH105" s="12"/>
      <c r="BJ105" s="12"/>
      <c r="BK105" s="12"/>
      <c r="BM105" s="12"/>
      <c r="BN105" s="12"/>
      <c r="BO105" s="17"/>
      <c r="BQ105" s="12"/>
      <c r="BR105" s="12"/>
      <c r="BU105" s="12"/>
      <c r="BV105" s="12"/>
      <c r="BY105" s="12"/>
      <c r="BZ105" s="12"/>
      <c r="CC105" s="12"/>
      <c r="CD105" s="12"/>
      <c r="CE105"/>
      <c r="CG105" s="12"/>
      <c r="CH105" s="12"/>
      <c r="CJ105" s="12"/>
      <c r="CK105" s="12"/>
      <c r="CN105" s="12"/>
      <c r="CO105" s="12"/>
      <c r="CT105"/>
      <c r="CV105" s="12"/>
      <c r="CW105" s="12"/>
      <c r="CZ105" s="12"/>
      <c r="DA105" s="12"/>
      <c r="DC105" s="12"/>
      <c r="DD105" s="12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X105" s="9"/>
      <c r="EY105" s="9"/>
      <c r="EZ105" s="9"/>
      <c r="FA105" s="15"/>
      <c r="FB105" s="14"/>
      <c r="FC105" s="10"/>
      <c r="FD105" s="10"/>
      <c r="FE105" s="10"/>
      <c r="FF105" s="10"/>
      <c r="FG105" s="10"/>
      <c r="FH105" s="10"/>
    </row>
    <row r="106" spans="2:164" x14ac:dyDescent="0.25">
      <c r="B106"/>
      <c r="C106"/>
      <c r="D106"/>
      <c r="E106"/>
      <c r="F106" s="1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 s="1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 s="12"/>
      <c r="AK106" s="12"/>
      <c r="AL106" s="17"/>
      <c r="AP106" s="17"/>
      <c r="AQ106" s="12"/>
      <c r="AR106" s="12"/>
      <c r="AT106" s="17"/>
      <c r="AU106" s="12"/>
      <c r="AV106" s="12"/>
      <c r="AW106" s="17"/>
      <c r="AX106" s="12"/>
      <c r="AY106" s="12"/>
      <c r="BA106" s="12"/>
      <c r="BB106" s="12"/>
      <c r="BD106" s="12"/>
      <c r="BE106" s="12"/>
      <c r="BG106" s="12"/>
      <c r="BH106" s="12"/>
      <c r="BJ106" s="12"/>
      <c r="BK106" s="12"/>
      <c r="BM106" s="12"/>
      <c r="BN106" s="12"/>
      <c r="BQ106" s="12"/>
      <c r="BR106" s="12"/>
      <c r="BU106" s="12"/>
      <c r="BV106" s="12"/>
      <c r="BY106" s="12"/>
      <c r="BZ106" s="12"/>
      <c r="CC106" s="12"/>
      <c r="CD106" s="12"/>
      <c r="CE106"/>
      <c r="CG106" s="12"/>
      <c r="CH106" s="12"/>
      <c r="CJ106" s="12"/>
      <c r="CK106" s="12"/>
      <c r="CN106" s="12"/>
      <c r="CO106" s="12"/>
      <c r="CT106"/>
      <c r="CV106" s="12"/>
      <c r="CW106" s="12"/>
      <c r="CZ106" s="12"/>
      <c r="DA106" s="12"/>
      <c r="DC106" s="12"/>
      <c r="DD106" s="12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X106" s="9"/>
      <c r="EY106" s="9"/>
      <c r="EZ106" s="9"/>
      <c r="FA106" s="15"/>
      <c r="FB106" s="14"/>
      <c r="FC106" s="10"/>
      <c r="FD106" s="10"/>
      <c r="FE106" s="10"/>
      <c r="FF106" s="10"/>
      <c r="FG106" s="10"/>
      <c r="FH106" s="10"/>
    </row>
    <row r="107" spans="2:164" x14ac:dyDescent="0.25">
      <c r="B107"/>
      <c r="C107"/>
      <c r="D107"/>
      <c r="E107"/>
      <c r="F107" s="16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 s="16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 s="12"/>
      <c r="AK107" s="12"/>
      <c r="AL107" s="17"/>
      <c r="AP107" s="17"/>
      <c r="AQ107" s="12"/>
      <c r="AR107" s="12"/>
      <c r="AT107" s="17"/>
      <c r="AU107" s="12"/>
      <c r="AV107" s="12"/>
      <c r="AW107" s="17"/>
      <c r="AX107" s="12"/>
      <c r="AY107" s="12"/>
      <c r="BA107" s="12"/>
      <c r="BB107" s="12"/>
      <c r="BD107" s="12"/>
      <c r="BE107" s="12"/>
      <c r="BG107" s="12"/>
      <c r="BH107" s="12"/>
      <c r="BJ107" s="12"/>
      <c r="BK107" s="12"/>
      <c r="BM107" s="12"/>
      <c r="BN107" s="12"/>
      <c r="BQ107" s="12"/>
      <c r="BR107" s="12"/>
      <c r="BU107" s="12"/>
      <c r="BV107" s="12"/>
      <c r="BY107" s="12"/>
      <c r="BZ107" s="12"/>
      <c r="CC107" s="12"/>
      <c r="CD107" s="12"/>
      <c r="CE107"/>
      <c r="CG107" s="12"/>
      <c r="CH107" s="12"/>
      <c r="CJ107" s="12"/>
      <c r="CK107" s="12"/>
      <c r="CN107" s="12"/>
      <c r="CO107" s="12"/>
      <c r="CT107"/>
      <c r="CV107" s="12"/>
      <c r="CW107" s="12"/>
      <c r="CZ107" s="12"/>
      <c r="DA107" s="12"/>
      <c r="DC107" s="12"/>
      <c r="DD107" s="12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X107" s="9"/>
      <c r="EY107" s="9"/>
      <c r="EZ107" s="9"/>
      <c r="FA107" s="15"/>
      <c r="FB107" s="14"/>
      <c r="FC107" s="10"/>
      <c r="FD107" s="10"/>
      <c r="FE107" s="10"/>
      <c r="FF107" s="10"/>
      <c r="FG107" s="10"/>
      <c r="FH107" s="10"/>
    </row>
    <row r="108" spans="2:164" x14ac:dyDescent="0.25">
      <c r="B108"/>
      <c r="C108"/>
      <c r="D108"/>
      <c r="E108"/>
      <c r="F108" s="16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s="16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 s="12"/>
      <c r="AK108" s="12"/>
      <c r="AL108" s="17"/>
      <c r="AN108" s="17"/>
      <c r="AP108" s="17"/>
      <c r="AQ108" s="12"/>
      <c r="AR108" s="12"/>
      <c r="AT108" s="17"/>
      <c r="AU108" s="12"/>
      <c r="AV108" s="12"/>
      <c r="AW108" s="17"/>
      <c r="AX108" s="12"/>
      <c r="AY108" s="12"/>
      <c r="BA108" s="12"/>
      <c r="BB108" s="12"/>
      <c r="BC108" s="17"/>
      <c r="BD108" s="12"/>
      <c r="BE108" s="12"/>
      <c r="BG108" s="12"/>
      <c r="BH108" s="12"/>
      <c r="BJ108" s="12"/>
      <c r="BK108" s="12"/>
      <c r="BM108" s="12"/>
      <c r="BN108" s="12"/>
      <c r="BO108" s="17"/>
      <c r="BQ108" s="12"/>
      <c r="BR108" s="12"/>
      <c r="BS108" s="17"/>
      <c r="BT108" s="17"/>
      <c r="BU108" s="12"/>
      <c r="BV108" s="12"/>
      <c r="BY108" s="12"/>
      <c r="BZ108" s="12"/>
      <c r="CC108" s="12"/>
      <c r="CD108" s="12"/>
      <c r="CE108"/>
      <c r="CG108" s="12"/>
      <c r="CH108" s="12"/>
      <c r="CJ108" s="12"/>
      <c r="CK108" s="12"/>
      <c r="CL108" s="17"/>
      <c r="CM108" s="17"/>
      <c r="CN108" s="12"/>
      <c r="CO108" s="12"/>
      <c r="CT108"/>
      <c r="CV108" s="12"/>
      <c r="CW108" s="12"/>
      <c r="CZ108" s="12"/>
      <c r="DA108" s="12"/>
      <c r="DC108" s="12"/>
      <c r="DD108" s="12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X108" s="9"/>
      <c r="EY108" s="9"/>
      <c r="EZ108" s="9"/>
      <c r="FA108" s="15"/>
      <c r="FB108" s="14"/>
      <c r="FC108" s="10"/>
      <c r="FD108" s="10"/>
      <c r="FE108" s="10"/>
      <c r="FF108" s="10"/>
      <c r="FG108" s="10"/>
      <c r="FH108" s="10"/>
    </row>
    <row r="109" spans="2:164" x14ac:dyDescent="0.25">
      <c r="B109"/>
      <c r="C109"/>
      <c r="D109"/>
      <c r="E109"/>
      <c r="F109" s="16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 s="16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 s="12"/>
      <c r="AK109" s="12"/>
      <c r="AL109" s="17"/>
      <c r="AN109" s="17"/>
      <c r="AP109" s="17"/>
      <c r="AQ109" s="12"/>
      <c r="AR109" s="12"/>
      <c r="AT109" s="17"/>
      <c r="AU109" s="12"/>
      <c r="AV109" s="12"/>
      <c r="AW109" s="17"/>
      <c r="AX109" s="12"/>
      <c r="AY109" s="12"/>
      <c r="AZ109" s="17"/>
      <c r="BA109" s="12"/>
      <c r="BB109" s="12"/>
      <c r="BD109" s="12"/>
      <c r="BE109" s="12"/>
      <c r="BG109" s="12"/>
      <c r="BH109" s="12"/>
      <c r="BJ109" s="12"/>
      <c r="BK109" s="12"/>
      <c r="BM109" s="12"/>
      <c r="BN109" s="12"/>
      <c r="BO109" s="17"/>
      <c r="BQ109" s="12"/>
      <c r="BR109" s="12"/>
      <c r="BU109" s="12"/>
      <c r="BV109" s="12"/>
      <c r="BY109" s="12"/>
      <c r="BZ109" s="12"/>
      <c r="CA109" s="17"/>
      <c r="CB109" s="17"/>
      <c r="CC109" s="12"/>
      <c r="CD109" s="12"/>
      <c r="CE109"/>
      <c r="CG109" s="12"/>
      <c r="CH109" s="12"/>
      <c r="CJ109" s="12"/>
      <c r="CK109" s="12"/>
      <c r="CN109" s="12"/>
      <c r="CO109" s="12"/>
      <c r="CT109"/>
      <c r="CV109" s="12"/>
      <c r="CW109" s="12"/>
      <c r="CZ109" s="12"/>
      <c r="DA109" s="12"/>
      <c r="DC109" s="12"/>
      <c r="DD109" s="12"/>
      <c r="DF109" s="17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X109" s="9"/>
      <c r="EY109" s="9"/>
      <c r="EZ109" s="9"/>
      <c r="FA109" s="15"/>
      <c r="FB109" s="14"/>
      <c r="FC109" s="10"/>
      <c r="FD109" s="10"/>
      <c r="FE109" s="10"/>
      <c r="FF109" s="10"/>
      <c r="FG109" s="10"/>
      <c r="FH109" s="10"/>
    </row>
    <row r="110" spans="2:164" x14ac:dyDescent="0.25">
      <c r="B110"/>
      <c r="C110"/>
      <c r="D110"/>
      <c r="E110"/>
      <c r="F110" s="16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s="16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 s="12"/>
      <c r="AK110" s="12"/>
      <c r="AL110" s="17"/>
      <c r="AN110" s="17"/>
      <c r="AP110" s="17"/>
      <c r="AQ110" s="12"/>
      <c r="AR110" s="12"/>
      <c r="AT110" s="17"/>
      <c r="AU110" s="12"/>
      <c r="AV110" s="12"/>
      <c r="AW110" s="17"/>
      <c r="AX110" s="12"/>
      <c r="AY110" s="12"/>
      <c r="BA110" s="12"/>
      <c r="BB110" s="12"/>
      <c r="BC110" s="17"/>
      <c r="BD110" s="12"/>
      <c r="BE110" s="12"/>
      <c r="BG110" s="12"/>
      <c r="BH110" s="12"/>
      <c r="BJ110" s="12"/>
      <c r="BK110" s="12"/>
      <c r="BM110" s="12"/>
      <c r="BN110" s="12"/>
      <c r="BO110" s="17"/>
      <c r="BQ110" s="12"/>
      <c r="BR110" s="12"/>
      <c r="BU110" s="12"/>
      <c r="BV110" s="12"/>
      <c r="BY110" s="12"/>
      <c r="BZ110" s="12"/>
      <c r="CA110" s="17"/>
      <c r="CB110" s="17"/>
      <c r="CC110" s="12"/>
      <c r="CD110" s="12"/>
      <c r="CE110"/>
      <c r="CG110" s="12"/>
      <c r="CH110" s="12"/>
      <c r="CJ110" s="12"/>
      <c r="CK110" s="12"/>
      <c r="CN110" s="12"/>
      <c r="CO110" s="12"/>
      <c r="CT110"/>
      <c r="CV110" s="12"/>
      <c r="CW110" s="12"/>
      <c r="CZ110" s="12"/>
      <c r="DA110" s="12"/>
      <c r="DC110" s="12"/>
      <c r="DD110" s="12"/>
      <c r="DF110" s="17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X110" s="9"/>
      <c r="EY110" s="9"/>
      <c r="EZ110" s="9"/>
      <c r="FA110" s="15"/>
      <c r="FB110" s="14"/>
      <c r="FC110" s="10"/>
      <c r="FD110" s="10"/>
      <c r="FE110" s="10"/>
      <c r="FF110" s="10"/>
      <c r="FG110" s="10"/>
      <c r="FH110" s="10"/>
    </row>
    <row r="111" spans="2:164" x14ac:dyDescent="0.25">
      <c r="B111"/>
      <c r="C111"/>
      <c r="D111"/>
      <c r="E111"/>
      <c r="F111" s="16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 s="16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s="12"/>
      <c r="AK111" s="12"/>
      <c r="AL111" s="17"/>
      <c r="AN111" s="17"/>
      <c r="AP111" s="17"/>
      <c r="AQ111" s="12"/>
      <c r="AR111" s="12"/>
      <c r="AT111" s="17"/>
      <c r="AU111" s="12"/>
      <c r="AV111" s="12"/>
      <c r="AW111" s="17"/>
      <c r="AX111" s="12"/>
      <c r="AY111" s="12"/>
      <c r="BA111" s="12"/>
      <c r="BB111" s="12"/>
      <c r="BC111" s="17"/>
      <c r="BD111" s="12"/>
      <c r="BE111" s="12"/>
      <c r="BG111" s="12"/>
      <c r="BH111" s="12"/>
      <c r="BJ111" s="12"/>
      <c r="BK111" s="12"/>
      <c r="BM111" s="12"/>
      <c r="BN111" s="12"/>
      <c r="BO111" s="17"/>
      <c r="BQ111" s="12"/>
      <c r="BR111" s="12"/>
      <c r="BU111" s="12"/>
      <c r="BV111" s="12"/>
      <c r="BY111" s="12"/>
      <c r="BZ111" s="12"/>
      <c r="CC111" s="12"/>
      <c r="CD111" s="12"/>
      <c r="CE111"/>
      <c r="CG111" s="12"/>
      <c r="CH111" s="12"/>
      <c r="CJ111" s="12"/>
      <c r="CK111" s="12"/>
      <c r="CN111" s="12"/>
      <c r="CO111" s="12"/>
      <c r="CT111"/>
      <c r="CV111" s="12"/>
      <c r="CW111" s="12"/>
      <c r="CZ111" s="12"/>
      <c r="DA111" s="12"/>
      <c r="DC111" s="12"/>
      <c r="DD111" s="12"/>
      <c r="DF111" s="17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X111" s="9"/>
      <c r="EY111" s="9"/>
      <c r="EZ111" s="9"/>
      <c r="FA111" s="15"/>
      <c r="FB111" s="14"/>
      <c r="FC111" s="10"/>
      <c r="FD111" s="10"/>
      <c r="FE111" s="10"/>
      <c r="FF111" s="10"/>
      <c r="FG111" s="10"/>
      <c r="FH111" s="10"/>
    </row>
    <row r="112" spans="2:164" x14ac:dyDescent="0.25">
      <c r="B112"/>
      <c r="C112"/>
      <c r="D112"/>
      <c r="E112"/>
      <c r="F112" s="16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 s="16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 s="12"/>
      <c r="AK112" s="12"/>
      <c r="AL112" s="17"/>
      <c r="AN112" s="17"/>
      <c r="AP112" s="17"/>
      <c r="AQ112" s="12"/>
      <c r="AR112" s="12"/>
      <c r="AT112" s="17"/>
      <c r="AU112" s="12"/>
      <c r="AV112" s="12"/>
      <c r="AW112" s="17"/>
      <c r="AX112" s="12"/>
      <c r="AY112" s="12"/>
      <c r="BA112" s="12"/>
      <c r="BB112" s="12"/>
      <c r="BC112" s="17"/>
      <c r="BD112" s="12"/>
      <c r="BE112" s="12"/>
      <c r="BG112" s="12"/>
      <c r="BH112" s="12"/>
      <c r="BJ112" s="12"/>
      <c r="BK112" s="12"/>
      <c r="BM112" s="12"/>
      <c r="BN112" s="12"/>
      <c r="BO112" s="17"/>
      <c r="BQ112" s="12"/>
      <c r="BR112" s="12"/>
      <c r="BU112" s="12"/>
      <c r="BV112" s="12"/>
      <c r="BY112" s="12"/>
      <c r="BZ112" s="12"/>
      <c r="CA112" s="17"/>
      <c r="CB112" s="17"/>
      <c r="CC112" s="12"/>
      <c r="CD112" s="12"/>
      <c r="CE112"/>
      <c r="CG112" s="12"/>
      <c r="CH112" s="12"/>
      <c r="CJ112" s="12"/>
      <c r="CK112" s="12"/>
      <c r="CN112" s="12"/>
      <c r="CO112" s="12"/>
      <c r="CT112"/>
      <c r="CV112" s="12"/>
      <c r="CW112" s="12"/>
      <c r="CZ112" s="12"/>
      <c r="DA112" s="12"/>
      <c r="DC112" s="12"/>
      <c r="DD112" s="12"/>
      <c r="DF112" s="17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X112" s="9"/>
      <c r="EY112" s="9"/>
      <c r="EZ112" s="9"/>
      <c r="FA112" s="15"/>
      <c r="FB112" s="14"/>
      <c r="FC112" s="10"/>
      <c r="FD112" s="10"/>
      <c r="FE112" s="10"/>
      <c r="FF112" s="10"/>
      <c r="FG112" s="10"/>
      <c r="FH112" s="10"/>
    </row>
    <row r="113" spans="2:164" x14ac:dyDescent="0.25">
      <c r="B113"/>
      <c r="C113"/>
      <c r="D113"/>
      <c r="E113"/>
      <c r="F113" s="16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 s="16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 s="12"/>
      <c r="AK113" s="12"/>
      <c r="AL113" s="17"/>
      <c r="AN113" s="17"/>
      <c r="AP113" s="17"/>
      <c r="AQ113" s="12"/>
      <c r="AR113" s="12"/>
      <c r="AT113" s="17"/>
      <c r="AU113" s="12"/>
      <c r="AV113" s="12"/>
      <c r="AW113" s="17"/>
      <c r="AX113" s="12"/>
      <c r="AY113" s="12"/>
      <c r="AZ113" s="17"/>
      <c r="BA113" s="12"/>
      <c r="BB113" s="12"/>
      <c r="BD113" s="12"/>
      <c r="BE113" s="12"/>
      <c r="BG113" s="12"/>
      <c r="BH113" s="12"/>
      <c r="BJ113" s="12"/>
      <c r="BK113" s="12"/>
      <c r="BM113" s="12"/>
      <c r="BN113" s="12"/>
      <c r="BO113" s="17"/>
      <c r="BQ113" s="12"/>
      <c r="BR113" s="12"/>
      <c r="BU113" s="12"/>
      <c r="BV113" s="12"/>
      <c r="BW113" s="17"/>
      <c r="BX113" s="17"/>
      <c r="BY113" s="12"/>
      <c r="BZ113" s="12"/>
      <c r="CC113" s="12"/>
      <c r="CD113" s="12"/>
      <c r="CE113"/>
      <c r="CG113" s="12"/>
      <c r="CH113" s="12"/>
      <c r="CI113" s="17"/>
      <c r="CJ113" s="12"/>
      <c r="CK113" s="12"/>
      <c r="CN113" s="12"/>
      <c r="CO113" s="12"/>
      <c r="CT113"/>
      <c r="CV113" s="12"/>
      <c r="CW113" s="12"/>
      <c r="CZ113" s="12"/>
      <c r="DA113" s="12"/>
      <c r="DC113" s="12"/>
      <c r="DD113" s="12"/>
      <c r="DF113" s="17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X113" s="9"/>
      <c r="EY113" s="9"/>
      <c r="EZ113" s="9"/>
      <c r="FA113" s="15"/>
      <c r="FB113" s="14"/>
      <c r="FC113" s="10"/>
      <c r="FD113" s="10"/>
      <c r="FE113" s="10"/>
      <c r="FF113" s="10"/>
      <c r="FG113" s="10"/>
      <c r="FH113" s="10"/>
    </row>
    <row r="114" spans="2:164" x14ac:dyDescent="0.25">
      <c r="B114"/>
      <c r="C114"/>
      <c r="D114"/>
      <c r="E114"/>
      <c r="F114" s="16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 s="16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 s="12"/>
      <c r="AK114" s="12"/>
      <c r="AL114" s="17"/>
      <c r="AN114" s="17"/>
      <c r="AP114" s="17"/>
      <c r="AQ114" s="12"/>
      <c r="AR114" s="12"/>
      <c r="AT114" s="17"/>
      <c r="AU114" s="12"/>
      <c r="AV114" s="12"/>
      <c r="AW114" s="17"/>
      <c r="AX114" s="12"/>
      <c r="AY114" s="12"/>
      <c r="BA114" s="12"/>
      <c r="BB114" s="12"/>
      <c r="BC114" s="17"/>
      <c r="BD114" s="12"/>
      <c r="BE114" s="12"/>
      <c r="BG114" s="12"/>
      <c r="BH114" s="12"/>
      <c r="BJ114" s="12"/>
      <c r="BK114" s="12"/>
      <c r="BM114" s="12"/>
      <c r="BN114" s="12"/>
      <c r="BO114" s="17"/>
      <c r="BQ114" s="12"/>
      <c r="BR114" s="12"/>
      <c r="BS114" s="17"/>
      <c r="BT114" s="17"/>
      <c r="BU114" s="12"/>
      <c r="BV114" s="12"/>
      <c r="BY114" s="12"/>
      <c r="BZ114" s="12"/>
      <c r="CC114" s="12"/>
      <c r="CD114" s="12"/>
      <c r="CE114"/>
      <c r="CG114" s="12"/>
      <c r="CH114" s="12"/>
      <c r="CI114" s="17"/>
      <c r="CJ114" s="12"/>
      <c r="CK114" s="12"/>
      <c r="CN114" s="12"/>
      <c r="CO114" s="12"/>
      <c r="CT114"/>
      <c r="CV114" s="12"/>
      <c r="CW114" s="12"/>
      <c r="CZ114" s="12"/>
      <c r="DA114" s="12"/>
      <c r="DC114" s="12"/>
      <c r="DD114" s="12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X114" s="9"/>
      <c r="EY114" s="9"/>
      <c r="EZ114" s="9"/>
      <c r="FA114" s="15"/>
      <c r="FB114" s="14"/>
      <c r="FC114" s="10"/>
      <c r="FD114" s="10"/>
      <c r="FE114" s="10"/>
      <c r="FF114" s="10"/>
      <c r="FG114" s="10"/>
      <c r="FH114" s="10"/>
    </row>
    <row r="115" spans="2:164" x14ac:dyDescent="0.25">
      <c r="B115"/>
      <c r="C115"/>
      <c r="D115"/>
      <c r="E115"/>
      <c r="F115" s="16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 s="16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 s="12"/>
      <c r="AK115" s="12"/>
      <c r="AL115" s="17"/>
      <c r="AN115" s="17"/>
      <c r="AP115" s="17"/>
      <c r="AQ115" s="12"/>
      <c r="AR115" s="12"/>
      <c r="AT115" s="17"/>
      <c r="AU115" s="12"/>
      <c r="AV115" s="12"/>
      <c r="AW115" s="17"/>
      <c r="AX115" s="12"/>
      <c r="AY115" s="12"/>
      <c r="BA115" s="12"/>
      <c r="BB115" s="12"/>
      <c r="BC115" s="17"/>
      <c r="BD115" s="12"/>
      <c r="BE115" s="12"/>
      <c r="BG115" s="12"/>
      <c r="BH115" s="12"/>
      <c r="BJ115" s="12"/>
      <c r="BK115" s="12"/>
      <c r="BM115" s="12"/>
      <c r="BN115" s="12"/>
      <c r="BO115" s="17"/>
      <c r="BQ115" s="12"/>
      <c r="BR115" s="12"/>
      <c r="BU115" s="12"/>
      <c r="BV115" s="12"/>
      <c r="BY115" s="12"/>
      <c r="BZ115" s="12"/>
      <c r="CA115" s="17"/>
      <c r="CB115" s="17"/>
      <c r="CC115" s="12"/>
      <c r="CD115" s="12"/>
      <c r="CE115"/>
      <c r="CG115" s="12"/>
      <c r="CH115" s="12"/>
      <c r="CJ115" s="12"/>
      <c r="CK115" s="12"/>
      <c r="CN115" s="12"/>
      <c r="CO115" s="12"/>
      <c r="CT115"/>
      <c r="CV115" s="12"/>
      <c r="CW115" s="12"/>
      <c r="CZ115" s="12"/>
      <c r="DA115" s="12"/>
      <c r="DC115" s="12"/>
      <c r="DD115" s="12"/>
      <c r="DF115" s="17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X115" s="9"/>
      <c r="EY115" s="9"/>
      <c r="EZ115" s="9"/>
      <c r="FA115" s="15"/>
      <c r="FB115" s="14"/>
      <c r="FC115" s="10"/>
      <c r="FD115" s="10"/>
      <c r="FE115" s="10"/>
      <c r="FF115" s="10"/>
      <c r="FG115" s="10"/>
      <c r="FH115" s="10"/>
    </row>
    <row r="116" spans="2:164" x14ac:dyDescent="0.25">
      <c r="B116"/>
      <c r="C116"/>
      <c r="D116"/>
      <c r="E116"/>
      <c r="F116" s="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 s="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 s="12"/>
      <c r="AK116" s="12"/>
      <c r="AL116" s="17"/>
      <c r="AN116" s="17"/>
      <c r="AP116" s="17"/>
      <c r="AQ116" s="12"/>
      <c r="AR116" s="12"/>
      <c r="AT116" s="17"/>
      <c r="AU116" s="12"/>
      <c r="AV116" s="12"/>
      <c r="AW116" s="17"/>
      <c r="AX116" s="12"/>
      <c r="AY116" s="12"/>
      <c r="BA116" s="12"/>
      <c r="BB116" s="12"/>
      <c r="BC116" s="17"/>
      <c r="BD116" s="12"/>
      <c r="BE116" s="12"/>
      <c r="BG116" s="12"/>
      <c r="BH116" s="12"/>
      <c r="BJ116" s="12"/>
      <c r="BK116" s="12"/>
      <c r="BM116" s="12"/>
      <c r="BN116" s="12"/>
      <c r="BO116" s="17"/>
      <c r="BQ116" s="12"/>
      <c r="BR116" s="12"/>
      <c r="BU116" s="12"/>
      <c r="BV116" s="12"/>
      <c r="BY116" s="12"/>
      <c r="BZ116" s="12"/>
      <c r="CA116" s="17"/>
      <c r="CB116" s="17"/>
      <c r="CC116" s="12"/>
      <c r="CD116" s="12"/>
      <c r="CE116"/>
      <c r="CG116" s="12"/>
      <c r="CH116" s="12"/>
      <c r="CJ116" s="12"/>
      <c r="CK116" s="12"/>
      <c r="CN116" s="12"/>
      <c r="CO116" s="12"/>
      <c r="CT116"/>
      <c r="CV116" s="12"/>
      <c r="CW116" s="12"/>
      <c r="CZ116" s="12"/>
      <c r="DA116" s="12"/>
      <c r="DC116" s="12"/>
      <c r="DD116" s="12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X116" s="9"/>
      <c r="EY116" s="9"/>
      <c r="EZ116" s="9"/>
      <c r="FA116" s="15"/>
      <c r="FB116" s="14"/>
      <c r="FC116" s="10"/>
      <c r="FD116" s="10"/>
      <c r="FE116" s="10"/>
      <c r="FF116" s="10"/>
      <c r="FG116" s="10"/>
      <c r="FH116" s="10"/>
    </row>
    <row r="117" spans="2:164" x14ac:dyDescent="0.25">
      <c r="B117"/>
      <c r="C117"/>
      <c r="D117"/>
      <c r="E117"/>
      <c r="F117" s="16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 s="16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 s="12"/>
      <c r="AK117" s="12"/>
      <c r="AL117" s="17"/>
      <c r="AN117" s="17"/>
      <c r="AP117" s="17"/>
      <c r="AQ117" s="12"/>
      <c r="AR117" s="12"/>
      <c r="AT117" s="17"/>
      <c r="AU117" s="12"/>
      <c r="AV117" s="12"/>
      <c r="AW117" s="17"/>
      <c r="AX117" s="12"/>
      <c r="AY117" s="12"/>
      <c r="AZ117" s="17"/>
      <c r="BA117" s="12"/>
      <c r="BB117" s="12"/>
      <c r="BD117" s="12"/>
      <c r="BE117" s="12"/>
      <c r="BG117" s="12"/>
      <c r="BH117" s="12"/>
      <c r="BJ117" s="12"/>
      <c r="BK117" s="12"/>
      <c r="BM117" s="12"/>
      <c r="BN117" s="12"/>
      <c r="BO117" s="17"/>
      <c r="BQ117" s="12"/>
      <c r="BR117" s="12"/>
      <c r="BU117" s="12"/>
      <c r="BV117" s="12"/>
      <c r="BW117" s="17"/>
      <c r="BX117" s="17"/>
      <c r="BY117" s="12"/>
      <c r="BZ117" s="12"/>
      <c r="CC117" s="12"/>
      <c r="CD117" s="12"/>
      <c r="CE117"/>
      <c r="CG117" s="12"/>
      <c r="CH117" s="12"/>
      <c r="CJ117" s="12"/>
      <c r="CK117" s="12"/>
      <c r="CL117" s="17"/>
      <c r="CM117" s="17"/>
      <c r="CN117" s="12"/>
      <c r="CO117" s="12"/>
      <c r="CT117"/>
      <c r="CV117" s="12"/>
      <c r="CW117" s="12"/>
      <c r="CZ117" s="12"/>
      <c r="DA117" s="12"/>
      <c r="DC117" s="12"/>
      <c r="DD117" s="12"/>
      <c r="DF117" s="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X117" s="9"/>
      <c r="EY117" s="9"/>
      <c r="EZ117" s="9"/>
      <c r="FA117" s="15"/>
      <c r="FB117" s="14"/>
      <c r="FC117" s="10"/>
      <c r="FD117" s="10"/>
      <c r="FE117" s="10"/>
      <c r="FF117" s="10"/>
      <c r="FG117" s="10"/>
      <c r="FH117" s="10"/>
    </row>
    <row r="118" spans="2:164" x14ac:dyDescent="0.25">
      <c r="B118"/>
      <c r="C118"/>
      <c r="D118"/>
      <c r="E118"/>
      <c r="F118" s="16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 s="16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 s="12"/>
      <c r="AK118" s="12"/>
      <c r="AL118" s="17"/>
      <c r="AN118" s="17"/>
      <c r="AP118" s="17"/>
      <c r="AQ118" s="12"/>
      <c r="AR118" s="12"/>
      <c r="AT118" s="17"/>
      <c r="AU118" s="12"/>
      <c r="AV118" s="12"/>
      <c r="AW118" s="17"/>
      <c r="AX118" s="12"/>
      <c r="AY118" s="12"/>
      <c r="BA118" s="12"/>
      <c r="BB118" s="12"/>
      <c r="BC118" s="17"/>
      <c r="BD118" s="12"/>
      <c r="BE118" s="12"/>
      <c r="BG118" s="12"/>
      <c r="BH118" s="12"/>
      <c r="BJ118" s="12"/>
      <c r="BK118" s="12"/>
      <c r="BM118" s="12"/>
      <c r="BN118" s="12"/>
      <c r="BO118" s="17"/>
      <c r="BQ118" s="12"/>
      <c r="BR118" s="12"/>
      <c r="BU118" s="12"/>
      <c r="BV118" s="12"/>
      <c r="BY118" s="12"/>
      <c r="BZ118" s="12"/>
      <c r="CC118" s="12"/>
      <c r="CD118" s="12"/>
      <c r="CE118"/>
      <c r="CG118" s="12"/>
      <c r="CH118" s="12"/>
      <c r="CJ118" s="12"/>
      <c r="CK118" s="12"/>
      <c r="CN118" s="12"/>
      <c r="CO118" s="12"/>
      <c r="CT118"/>
      <c r="CV118" s="12"/>
      <c r="CW118" s="12"/>
      <c r="CZ118" s="12"/>
      <c r="DA118" s="12"/>
      <c r="DC118" s="12"/>
      <c r="DD118" s="12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X118" s="9"/>
      <c r="EY118" s="9"/>
      <c r="EZ118" s="9"/>
      <c r="FA118" s="15"/>
      <c r="FB118" s="14"/>
      <c r="FC118" s="10"/>
      <c r="FD118" s="10"/>
      <c r="FE118" s="10"/>
      <c r="FF118" s="10"/>
      <c r="FG118" s="10"/>
      <c r="FH118" s="10"/>
    </row>
    <row r="119" spans="2:164" x14ac:dyDescent="0.25">
      <c r="B119"/>
      <c r="C119"/>
      <c r="D119"/>
      <c r="E119"/>
      <c r="F119" s="16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 s="16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 s="12"/>
      <c r="AK119" s="12"/>
      <c r="AL119" s="17"/>
      <c r="AN119" s="17"/>
      <c r="AP119" s="17"/>
      <c r="AQ119" s="12"/>
      <c r="AR119" s="12"/>
      <c r="AT119" s="17"/>
      <c r="AU119" s="12"/>
      <c r="AV119" s="12"/>
      <c r="AW119" s="17"/>
      <c r="AX119" s="12"/>
      <c r="AY119" s="12"/>
      <c r="BA119" s="12"/>
      <c r="BB119" s="12"/>
      <c r="BC119" s="17"/>
      <c r="BD119" s="12"/>
      <c r="BE119" s="12"/>
      <c r="BG119" s="12"/>
      <c r="BH119" s="12"/>
      <c r="BJ119" s="12"/>
      <c r="BK119" s="12"/>
      <c r="BM119" s="12"/>
      <c r="BN119" s="12"/>
      <c r="BO119" s="17"/>
      <c r="BQ119" s="12"/>
      <c r="BR119" s="12"/>
      <c r="BU119" s="12"/>
      <c r="BV119" s="12"/>
      <c r="BY119" s="12"/>
      <c r="BZ119" s="12"/>
      <c r="CC119" s="12"/>
      <c r="CD119" s="12"/>
      <c r="CE119"/>
      <c r="CG119" s="12"/>
      <c r="CH119" s="12"/>
      <c r="CJ119" s="12"/>
      <c r="CK119" s="12"/>
      <c r="CN119" s="12"/>
      <c r="CO119" s="12"/>
      <c r="CT119"/>
      <c r="CV119" s="12"/>
      <c r="CW119" s="12"/>
      <c r="CZ119" s="12"/>
      <c r="DA119" s="12"/>
      <c r="DC119" s="12"/>
      <c r="DD119" s="12"/>
      <c r="DF119" s="17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X119" s="9"/>
      <c r="EY119" s="9"/>
      <c r="EZ119" s="9"/>
      <c r="FA119" s="15"/>
      <c r="FB119" s="14"/>
      <c r="FC119" s="10"/>
      <c r="FD119" s="10"/>
      <c r="FE119" s="10"/>
      <c r="FF119" s="10"/>
      <c r="FG119" s="10"/>
      <c r="FH119" s="10"/>
    </row>
    <row r="120" spans="2:164" x14ac:dyDescent="0.25">
      <c r="B120"/>
      <c r="C120"/>
      <c r="D120"/>
      <c r="E120"/>
      <c r="F120" s="16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 s="16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 s="12"/>
      <c r="AK120" s="12"/>
      <c r="AL120" s="17"/>
      <c r="AN120" s="17"/>
      <c r="AP120" s="17"/>
      <c r="AQ120" s="12"/>
      <c r="AR120" s="12"/>
      <c r="AT120" s="17"/>
      <c r="AU120" s="12"/>
      <c r="AV120" s="12"/>
      <c r="AW120" s="17"/>
      <c r="AX120" s="12"/>
      <c r="AY120" s="12"/>
      <c r="BA120" s="12"/>
      <c r="BB120" s="12"/>
      <c r="BC120" s="17"/>
      <c r="BD120" s="12"/>
      <c r="BE120" s="12"/>
      <c r="BG120" s="12"/>
      <c r="BH120" s="12"/>
      <c r="BJ120" s="12"/>
      <c r="BK120" s="12"/>
      <c r="BM120" s="12"/>
      <c r="BN120" s="12"/>
      <c r="BO120" s="17"/>
      <c r="BQ120" s="12"/>
      <c r="BR120" s="12"/>
      <c r="BU120" s="12"/>
      <c r="BV120" s="12"/>
      <c r="BY120" s="12"/>
      <c r="BZ120" s="12"/>
      <c r="CA120" s="17"/>
      <c r="CB120" s="17"/>
      <c r="CC120" s="12"/>
      <c r="CD120" s="12"/>
      <c r="CE120"/>
      <c r="CG120" s="12"/>
      <c r="CH120" s="12"/>
      <c r="CJ120" s="12"/>
      <c r="CK120" s="12"/>
      <c r="CN120" s="12"/>
      <c r="CO120" s="12"/>
      <c r="CT120"/>
      <c r="CV120" s="12"/>
      <c r="CW120" s="12"/>
      <c r="CZ120" s="12"/>
      <c r="DA120" s="12"/>
      <c r="DC120" s="12"/>
      <c r="DD120" s="12"/>
      <c r="DE120" s="17"/>
      <c r="DF120" s="17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X120" s="9"/>
      <c r="EY120" s="9"/>
      <c r="EZ120" s="9"/>
      <c r="FA120" s="15"/>
      <c r="FB120" s="14"/>
      <c r="FC120" s="10"/>
      <c r="FD120" s="10"/>
      <c r="FE120" s="10"/>
      <c r="FF120" s="10"/>
      <c r="FG120" s="10"/>
      <c r="FH120" s="10"/>
    </row>
    <row r="121" spans="2:164" x14ac:dyDescent="0.25">
      <c r="B121"/>
      <c r="C121"/>
      <c r="D121"/>
      <c r="E121"/>
      <c r="F121" s="16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 s="16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 s="12"/>
      <c r="AK121" s="12"/>
      <c r="AL121" s="17"/>
      <c r="AN121" s="17"/>
      <c r="AP121" s="17"/>
      <c r="AQ121" s="12"/>
      <c r="AR121" s="12"/>
      <c r="AT121" s="17"/>
      <c r="AU121" s="12"/>
      <c r="AV121" s="12"/>
      <c r="AW121" s="17"/>
      <c r="AX121" s="12"/>
      <c r="AY121" s="12"/>
      <c r="BA121" s="12"/>
      <c r="BB121" s="12"/>
      <c r="BC121" s="17"/>
      <c r="BD121" s="12"/>
      <c r="BE121" s="12"/>
      <c r="BG121" s="12"/>
      <c r="BH121" s="12"/>
      <c r="BJ121" s="12"/>
      <c r="BK121" s="12"/>
      <c r="BM121" s="12"/>
      <c r="BN121" s="12"/>
      <c r="BO121" s="17"/>
      <c r="BQ121" s="12"/>
      <c r="BR121" s="12"/>
      <c r="BU121" s="12"/>
      <c r="BV121" s="12"/>
      <c r="BY121" s="12"/>
      <c r="BZ121" s="12"/>
      <c r="CA121" s="17"/>
      <c r="CB121" s="17"/>
      <c r="CC121" s="12"/>
      <c r="CD121" s="12"/>
      <c r="CE121"/>
      <c r="CG121" s="12"/>
      <c r="CH121" s="12"/>
      <c r="CJ121" s="12"/>
      <c r="CK121" s="12"/>
      <c r="CN121" s="12"/>
      <c r="CO121" s="12"/>
      <c r="CT121"/>
      <c r="CV121" s="12"/>
      <c r="CW121" s="12"/>
      <c r="CZ121" s="12"/>
      <c r="DA121" s="12"/>
      <c r="DC121" s="12"/>
      <c r="DD121" s="12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X121" s="9"/>
      <c r="EY121" s="9"/>
      <c r="EZ121" s="9"/>
      <c r="FA121" s="15"/>
      <c r="FB121" s="14"/>
      <c r="FC121" s="10"/>
      <c r="FD121" s="10"/>
      <c r="FE121" s="10"/>
      <c r="FF121" s="10"/>
      <c r="FG121" s="10"/>
      <c r="FH121" s="10"/>
    </row>
    <row r="122" spans="2:164" x14ac:dyDescent="0.25">
      <c r="B122"/>
      <c r="C122"/>
      <c r="D122"/>
      <c r="E122"/>
      <c r="F122" s="16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 s="16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 s="12"/>
      <c r="AK122" s="12"/>
      <c r="AL122" s="17"/>
      <c r="AN122" s="17"/>
      <c r="AP122" s="17"/>
      <c r="AQ122" s="12"/>
      <c r="AR122" s="12"/>
      <c r="AT122" s="17"/>
      <c r="AU122" s="12"/>
      <c r="AV122" s="12"/>
      <c r="AW122" s="17"/>
      <c r="AX122" s="12"/>
      <c r="AY122" s="12"/>
      <c r="AZ122" s="17"/>
      <c r="BA122" s="12"/>
      <c r="BB122" s="12"/>
      <c r="BD122" s="12"/>
      <c r="BE122" s="12"/>
      <c r="BG122" s="12"/>
      <c r="BH122" s="12"/>
      <c r="BJ122" s="12"/>
      <c r="BK122" s="12"/>
      <c r="BM122" s="12"/>
      <c r="BN122" s="12"/>
      <c r="BO122" s="17"/>
      <c r="BQ122" s="12"/>
      <c r="BR122" s="12"/>
      <c r="BU122" s="12"/>
      <c r="BV122" s="12"/>
      <c r="BY122" s="12"/>
      <c r="BZ122" s="12"/>
      <c r="CC122" s="12"/>
      <c r="CD122" s="12"/>
      <c r="CE122"/>
      <c r="CG122" s="12"/>
      <c r="CH122" s="12"/>
      <c r="CI122" s="17"/>
      <c r="CJ122" s="12"/>
      <c r="CK122" s="12"/>
      <c r="CN122" s="12"/>
      <c r="CO122" s="12"/>
      <c r="CT122"/>
      <c r="CV122" s="12"/>
      <c r="CW122" s="12"/>
      <c r="CZ122" s="12"/>
      <c r="DA122" s="12"/>
      <c r="DC122" s="12"/>
      <c r="DD122" s="12"/>
      <c r="DF122" s="17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X122" s="9"/>
      <c r="EY122" s="9"/>
      <c r="EZ122" s="9"/>
      <c r="FA122" s="15"/>
      <c r="FB122" s="14"/>
      <c r="FC122" s="10"/>
      <c r="FD122" s="10"/>
      <c r="FE122" s="10"/>
      <c r="FF122" s="10"/>
      <c r="FG122" s="10"/>
      <c r="FH122" s="10"/>
    </row>
    <row r="123" spans="2:164" x14ac:dyDescent="0.25">
      <c r="B123"/>
      <c r="C123"/>
      <c r="D123"/>
      <c r="E123"/>
      <c r="F123" s="16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 s="16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s="12"/>
      <c r="AK123" s="12"/>
      <c r="AL123" s="17"/>
      <c r="AN123" s="17"/>
      <c r="AP123" s="17"/>
      <c r="AQ123" s="12"/>
      <c r="AR123" s="12"/>
      <c r="AT123" s="17"/>
      <c r="AU123" s="12"/>
      <c r="AV123" s="12"/>
      <c r="AW123" s="17"/>
      <c r="AX123" s="12"/>
      <c r="AY123" s="12"/>
      <c r="BA123" s="12"/>
      <c r="BB123" s="12"/>
      <c r="BC123" s="17"/>
      <c r="BD123" s="12"/>
      <c r="BE123" s="12"/>
      <c r="BG123" s="12"/>
      <c r="BH123" s="12"/>
      <c r="BJ123" s="12"/>
      <c r="BK123" s="12"/>
      <c r="BM123" s="12"/>
      <c r="BN123" s="12"/>
      <c r="BO123" s="17"/>
      <c r="BQ123" s="12"/>
      <c r="BR123" s="12"/>
      <c r="BU123" s="12"/>
      <c r="BV123" s="12"/>
      <c r="BY123" s="12"/>
      <c r="BZ123" s="12"/>
      <c r="CA123" s="17"/>
      <c r="CB123" s="17"/>
      <c r="CC123" s="12"/>
      <c r="CD123" s="12"/>
      <c r="CE123"/>
      <c r="CG123" s="12"/>
      <c r="CH123" s="12"/>
      <c r="CJ123" s="12"/>
      <c r="CK123" s="12"/>
      <c r="CN123" s="12"/>
      <c r="CO123" s="12"/>
      <c r="CT123"/>
      <c r="CV123" s="12"/>
      <c r="CW123" s="12"/>
      <c r="CZ123" s="12"/>
      <c r="DA123" s="12"/>
      <c r="DC123" s="12"/>
      <c r="DD123" s="12"/>
      <c r="DE123" s="17"/>
      <c r="DF123" s="17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X123" s="9"/>
      <c r="EY123" s="9"/>
      <c r="EZ123" s="9"/>
      <c r="FA123" s="15"/>
      <c r="FB123" s="14"/>
      <c r="FC123" s="10"/>
      <c r="FD123" s="10"/>
      <c r="FE123" s="10"/>
      <c r="FF123" s="10"/>
      <c r="FG123" s="10"/>
      <c r="FH123" s="10"/>
    </row>
    <row r="124" spans="2:164" x14ac:dyDescent="0.25">
      <c r="B124"/>
      <c r="C124"/>
      <c r="D124"/>
      <c r="E124"/>
      <c r="F124" s="16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 s="16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 s="12"/>
      <c r="AK124" s="12"/>
      <c r="AL124" s="17"/>
      <c r="AN124" s="17"/>
      <c r="AP124" s="17"/>
      <c r="AQ124" s="12"/>
      <c r="AR124" s="12"/>
      <c r="AT124" s="17"/>
      <c r="AU124" s="12"/>
      <c r="AV124" s="12"/>
      <c r="AW124" s="17"/>
      <c r="AX124" s="12"/>
      <c r="AY124" s="12"/>
      <c r="BA124" s="12"/>
      <c r="BB124" s="12"/>
      <c r="BC124" s="17"/>
      <c r="BD124" s="12"/>
      <c r="BE124" s="12"/>
      <c r="BG124" s="12"/>
      <c r="BH124" s="12"/>
      <c r="BJ124" s="12"/>
      <c r="BK124" s="12"/>
      <c r="BM124" s="12"/>
      <c r="BN124" s="12"/>
      <c r="BO124" s="17"/>
      <c r="BQ124" s="12"/>
      <c r="BR124" s="12"/>
      <c r="BS124" s="17"/>
      <c r="BT124" s="17"/>
      <c r="BU124" s="12"/>
      <c r="BV124" s="12"/>
      <c r="BY124" s="12"/>
      <c r="BZ124" s="12"/>
      <c r="CC124" s="12"/>
      <c r="CD124" s="12"/>
      <c r="CE124"/>
      <c r="CG124" s="12"/>
      <c r="CH124" s="12"/>
      <c r="CJ124" s="12"/>
      <c r="CK124" s="12"/>
      <c r="CL124" s="17"/>
      <c r="CM124" s="17"/>
      <c r="CN124" s="12"/>
      <c r="CO124" s="12"/>
      <c r="CT124"/>
      <c r="CV124" s="12"/>
      <c r="CW124" s="12"/>
      <c r="CZ124" s="12"/>
      <c r="DA124" s="12"/>
      <c r="DC124" s="12"/>
      <c r="DD124" s="12"/>
      <c r="DE124" s="17"/>
      <c r="DF124" s="17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X124" s="9"/>
      <c r="EY124" s="9"/>
      <c r="EZ124" s="9"/>
      <c r="FA124" s="15"/>
      <c r="FB124" s="14"/>
      <c r="FC124" s="10"/>
      <c r="FD124" s="10"/>
      <c r="FE124" s="10"/>
      <c r="FF124" s="10"/>
      <c r="FG124" s="10"/>
      <c r="FH124" s="10"/>
    </row>
    <row r="125" spans="2:164" x14ac:dyDescent="0.25">
      <c r="B125"/>
      <c r="C125"/>
      <c r="D125"/>
      <c r="E125"/>
      <c r="F125" s="16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 s="16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 s="12"/>
      <c r="AK125" s="12"/>
      <c r="AL125" s="17"/>
      <c r="AN125" s="17"/>
      <c r="AP125" s="17"/>
      <c r="AQ125" s="12"/>
      <c r="AR125" s="12"/>
      <c r="AT125" s="17"/>
      <c r="AU125" s="12"/>
      <c r="AV125" s="12"/>
      <c r="AW125" s="17"/>
      <c r="AX125" s="12"/>
      <c r="AY125" s="12"/>
      <c r="BA125" s="12"/>
      <c r="BB125" s="12"/>
      <c r="BC125" s="17"/>
      <c r="BD125" s="12"/>
      <c r="BE125" s="12"/>
      <c r="BG125" s="12"/>
      <c r="BH125" s="12"/>
      <c r="BJ125" s="12"/>
      <c r="BK125" s="12"/>
      <c r="BM125" s="12"/>
      <c r="BN125" s="12"/>
      <c r="BO125" s="17"/>
      <c r="BQ125" s="12"/>
      <c r="BR125" s="12"/>
      <c r="BU125" s="12"/>
      <c r="BV125" s="12"/>
      <c r="BY125" s="12"/>
      <c r="BZ125" s="12"/>
      <c r="CC125" s="12"/>
      <c r="CD125" s="12"/>
      <c r="CE125"/>
      <c r="CG125" s="12"/>
      <c r="CH125" s="12"/>
      <c r="CJ125" s="12"/>
      <c r="CK125" s="12"/>
      <c r="CN125" s="12"/>
      <c r="CO125" s="12"/>
      <c r="CT125"/>
      <c r="CV125" s="12"/>
      <c r="CW125" s="12"/>
      <c r="CZ125" s="12"/>
      <c r="DA125" s="12"/>
      <c r="DC125" s="12"/>
      <c r="DD125" s="12"/>
      <c r="DE125" s="17"/>
      <c r="DF125" s="17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X125" s="9"/>
      <c r="EY125" s="9"/>
      <c r="EZ125" s="9"/>
      <c r="FA125" s="15"/>
      <c r="FB125" s="14"/>
      <c r="FC125" s="10"/>
      <c r="FD125" s="10"/>
      <c r="FE125" s="10"/>
      <c r="FF125" s="10"/>
      <c r="FG125" s="10"/>
      <c r="FH125" s="10"/>
    </row>
    <row r="126" spans="2:164" x14ac:dyDescent="0.25">
      <c r="B126"/>
      <c r="C126"/>
      <c r="D126"/>
      <c r="E126"/>
      <c r="F126" s="1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s="1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 s="12"/>
      <c r="AK126" s="12"/>
      <c r="AL126" s="17"/>
      <c r="AN126" s="17"/>
      <c r="AP126" s="17"/>
      <c r="AQ126" s="12"/>
      <c r="AR126" s="12"/>
      <c r="AT126" s="17"/>
      <c r="AU126" s="12"/>
      <c r="AV126" s="12"/>
      <c r="AW126" s="17"/>
      <c r="AX126" s="12"/>
      <c r="AY126" s="12"/>
      <c r="BA126" s="12"/>
      <c r="BB126" s="12"/>
      <c r="BC126" s="17"/>
      <c r="BD126" s="12"/>
      <c r="BE126" s="12"/>
      <c r="BG126" s="12"/>
      <c r="BH126" s="12"/>
      <c r="BJ126" s="12"/>
      <c r="BK126" s="12"/>
      <c r="BM126" s="12"/>
      <c r="BN126" s="12"/>
      <c r="BO126" s="17"/>
      <c r="BQ126" s="12"/>
      <c r="BR126" s="12"/>
      <c r="BS126" s="17"/>
      <c r="BT126" s="17"/>
      <c r="BU126" s="12"/>
      <c r="BV126" s="12"/>
      <c r="BY126" s="12"/>
      <c r="BZ126" s="12"/>
      <c r="CC126" s="12"/>
      <c r="CD126" s="12"/>
      <c r="CE126"/>
      <c r="CG126" s="12"/>
      <c r="CH126" s="12"/>
      <c r="CI126" s="17"/>
      <c r="CJ126" s="12"/>
      <c r="CK126" s="12"/>
      <c r="CN126" s="12"/>
      <c r="CO126" s="12"/>
      <c r="CT126"/>
      <c r="CV126" s="12"/>
      <c r="CW126" s="12"/>
      <c r="CZ126" s="12"/>
      <c r="DA126" s="12"/>
      <c r="DC126" s="12"/>
      <c r="DD126" s="12"/>
      <c r="DE126" s="17"/>
      <c r="DF126" s="17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X126" s="9"/>
      <c r="EY126" s="9"/>
      <c r="EZ126" s="9"/>
      <c r="FA126" s="15"/>
      <c r="FB126" s="14"/>
      <c r="FC126" s="10"/>
      <c r="FD126" s="10"/>
      <c r="FE126" s="10"/>
      <c r="FF126" s="10"/>
      <c r="FG126" s="10"/>
      <c r="FH126" s="10"/>
    </row>
    <row r="127" spans="2:164" x14ac:dyDescent="0.25">
      <c r="B127"/>
      <c r="C127"/>
      <c r="D127"/>
      <c r="E127"/>
      <c r="F127" s="16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 s="16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 s="12"/>
      <c r="AK127" s="12"/>
      <c r="AL127" s="17"/>
      <c r="AN127" s="17"/>
      <c r="AP127" s="17"/>
      <c r="AQ127" s="12"/>
      <c r="AR127" s="12"/>
      <c r="AT127" s="17"/>
      <c r="AU127" s="12"/>
      <c r="AV127" s="12"/>
      <c r="AW127" s="17"/>
      <c r="AX127" s="12"/>
      <c r="AY127" s="12"/>
      <c r="BA127" s="12"/>
      <c r="BB127" s="12"/>
      <c r="BC127" s="17"/>
      <c r="BD127" s="12"/>
      <c r="BE127" s="12"/>
      <c r="BG127" s="12"/>
      <c r="BH127" s="12"/>
      <c r="BJ127" s="12"/>
      <c r="BK127" s="12"/>
      <c r="BM127" s="12"/>
      <c r="BN127" s="12"/>
      <c r="BO127" s="17"/>
      <c r="BQ127" s="12"/>
      <c r="BR127" s="12"/>
      <c r="BU127" s="12"/>
      <c r="BV127" s="12"/>
      <c r="BY127" s="12"/>
      <c r="BZ127" s="12"/>
      <c r="CA127" s="17"/>
      <c r="CB127" s="17"/>
      <c r="CC127" s="12"/>
      <c r="CD127" s="12"/>
      <c r="CE127"/>
      <c r="CG127" s="12"/>
      <c r="CH127" s="12"/>
      <c r="CJ127" s="12"/>
      <c r="CK127" s="12"/>
      <c r="CN127" s="12"/>
      <c r="CO127" s="12"/>
      <c r="CT127"/>
      <c r="CV127" s="12"/>
      <c r="CW127" s="12"/>
      <c r="CZ127" s="12"/>
      <c r="DA127" s="12"/>
      <c r="DC127" s="12"/>
      <c r="DD127" s="12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X127" s="9"/>
      <c r="EY127" s="9"/>
      <c r="EZ127" s="9"/>
      <c r="FA127" s="15"/>
      <c r="FB127" s="14"/>
      <c r="FC127" s="10"/>
      <c r="FD127" s="10"/>
      <c r="FE127" s="10"/>
      <c r="FF127" s="10"/>
      <c r="FG127" s="10"/>
      <c r="FH127" s="10"/>
    </row>
    <row r="128" spans="2:164" x14ac:dyDescent="0.25">
      <c r="B128"/>
      <c r="C128"/>
      <c r="D128"/>
      <c r="E128"/>
      <c r="F128" s="16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 s="16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 s="12"/>
      <c r="AK128" s="12"/>
      <c r="AL128" s="17"/>
      <c r="AN128" s="17"/>
      <c r="AP128" s="17"/>
      <c r="AQ128" s="12"/>
      <c r="AR128" s="12"/>
      <c r="AT128" s="17"/>
      <c r="AU128" s="12"/>
      <c r="AV128" s="12"/>
      <c r="AW128" s="17"/>
      <c r="AX128" s="12"/>
      <c r="AY128" s="12"/>
      <c r="AZ128" s="17"/>
      <c r="BA128" s="12"/>
      <c r="BB128" s="12"/>
      <c r="BD128" s="12"/>
      <c r="BE128" s="12"/>
      <c r="BG128" s="12"/>
      <c r="BH128" s="12"/>
      <c r="BJ128" s="12"/>
      <c r="BK128" s="12"/>
      <c r="BM128" s="12"/>
      <c r="BN128" s="12"/>
      <c r="BO128" s="17"/>
      <c r="BQ128" s="12"/>
      <c r="BR128" s="12"/>
      <c r="BS128" s="17"/>
      <c r="BT128" s="17"/>
      <c r="BU128" s="12"/>
      <c r="BV128" s="12"/>
      <c r="BY128" s="12"/>
      <c r="BZ128" s="12"/>
      <c r="CC128" s="12"/>
      <c r="CD128" s="12"/>
      <c r="CE128"/>
      <c r="CG128" s="12"/>
      <c r="CH128" s="12"/>
      <c r="CI128" s="17"/>
      <c r="CJ128" s="12"/>
      <c r="CK128" s="12"/>
      <c r="CN128" s="12"/>
      <c r="CO128" s="12"/>
      <c r="CT128"/>
      <c r="CV128" s="12"/>
      <c r="CW128" s="12"/>
      <c r="CZ128" s="12"/>
      <c r="DA128" s="12"/>
      <c r="DC128" s="12"/>
      <c r="DD128" s="12"/>
      <c r="DF128" s="17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X128" s="9"/>
      <c r="EY128" s="9"/>
      <c r="EZ128" s="9"/>
      <c r="FA128" s="15"/>
      <c r="FB128" s="14"/>
      <c r="FC128" s="10"/>
      <c r="FD128" s="10"/>
      <c r="FE128" s="10"/>
      <c r="FF128" s="10"/>
      <c r="FG128" s="10"/>
      <c r="FH128" s="10"/>
    </row>
    <row r="129" spans="2:164" x14ac:dyDescent="0.25">
      <c r="B129"/>
      <c r="C129"/>
      <c r="D129"/>
      <c r="E129"/>
      <c r="F129" s="16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 s="16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 s="12"/>
      <c r="AK129" s="12"/>
      <c r="AL129" s="17"/>
      <c r="AN129" s="17"/>
      <c r="AP129" s="17"/>
      <c r="AQ129" s="12"/>
      <c r="AR129" s="12"/>
      <c r="AT129" s="17"/>
      <c r="AU129" s="12"/>
      <c r="AV129" s="12"/>
      <c r="AW129" s="17"/>
      <c r="AX129" s="12"/>
      <c r="AY129" s="12"/>
      <c r="BA129" s="12"/>
      <c r="BB129" s="12"/>
      <c r="BC129" s="17"/>
      <c r="BD129" s="12"/>
      <c r="BE129" s="12"/>
      <c r="BG129" s="12"/>
      <c r="BH129" s="12"/>
      <c r="BJ129" s="12"/>
      <c r="BK129" s="12"/>
      <c r="BM129" s="12"/>
      <c r="BN129" s="12"/>
      <c r="BO129" s="17"/>
      <c r="BQ129" s="12"/>
      <c r="BR129" s="12"/>
      <c r="BU129" s="12"/>
      <c r="BV129" s="12"/>
      <c r="BY129" s="12"/>
      <c r="BZ129" s="12"/>
      <c r="CA129" s="17"/>
      <c r="CB129" s="17"/>
      <c r="CC129" s="12"/>
      <c r="CD129" s="12"/>
      <c r="CE129"/>
      <c r="CG129" s="12"/>
      <c r="CH129" s="12"/>
      <c r="CJ129" s="12"/>
      <c r="CK129" s="12"/>
      <c r="CN129" s="12"/>
      <c r="CO129" s="12"/>
      <c r="CT129"/>
      <c r="CV129" s="12"/>
      <c r="CW129" s="12"/>
      <c r="CZ129" s="12"/>
      <c r="DA129" s="12"/>
      <c r="DC129" s="12"/>
      <c r="DD129" s="12"/>
      <c r="DE129" s="17"/>
      <c r="DF129" s="17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X129" s="9"/>
      <c r="EY129" s="9"/>
      <c r="EZ129" s="9"/>
      <c r="FA129" s="15"/>
      <c r="FB129" s="14"/>
      <c r="FC129" s="10"/>
      <c r="FD129" s="10"/>
      <c r="FE129" s="10"/>
      <c r="FF129" s="10"/>
      <c r="FG129" s="10"/>
      <c r="FH129" s="10"/>
    </row>
    <row r="130" spans="2:164" x14ac:dyDescent="0.25">
      <c r="B130"/>
      <c r="C130"/>
      <c r="D130"/>
      <c r="E130"/>
      <c r="F130" s="16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 s="16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 s="12"/>
      <c r="AK130" s="12"/>
      <c r="AL130" s="17"/>
      <c r="AN130" s="17"/>
      <c r="AP130" s="17"/>
      <c r="AQ130" s="12"/>
      <c r="AR130" s="12"/>
      <c r="AT130" s="17"/>
      <c r="AU130" s="12"/>
      <c r="AV130" s="12"/>
      <c r="AW130" s="17"/>
      <c r="AX130" s="12"/>
      <c r="AY130" s="12"/>
      <c r="BA130" s="12"/>
      <c r="BB130" s="12"/>
      <c r="BC130" s="17"/>
      <c r="BD130" s="12"/>
      <c r="BE130" s="12"/>
      <c r="BG130" s="12"/>
      <c r="BH130" s="12"/>
      <c r="BJ130" s="12"/>
      <c r="BK130" s="12"/>
      <c r="BM130" s="12"/>
      <c r="BN130" s="12"/>
      <c r="BQ130" s="12"/>
      <c r="BR130" s="12"/>
      <c r="BU130" s="12"/>
      <c r="BV130" s="12"/>
      <c r="BY130" s="12"/>
      <c r="BZ130" s="12"/>
      <c r="CC130" s="12"/>
      <c r="CD130" s="12"/>
      <c r="CE130"/>
      <c r="CG130" s="12"/>
      <c r="CH130" s="12"/>
      <c r="CI130" s="17"/>
      <c r="CJ130" s="12"/>
      <c r="CK130" s="12"/>
      <c r="CN130" s="12"/>
      <c r="CO130" s="12"/>
      <c r="CT130"/>
      <c r="CV130" s="12"/>
      <c r="CW130" s="12"/>
      <c r="CZ130" s="12"/>
      <c r="DA130" s="12"/>
      <c r="DC130" s="12"/>
      <c r="DD130" s="12"/>
      <c r="DE130" s="17"/>
      <c r="DF130" s="17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X130" s="9"/>
      <c r="EY130" s="9"/>
      <c r="EZ130" s="9"/>
      <c r="FA130" s="15"/>
      <c r="FB130" s="14"/>
      <c r="FC130" s="10"/>
      <c r="FD130" s="10"/>
      <c r="FE130" s="10"/>
      <c r="FF130" s="10"/>
      <c r="FG130" s="10"/>
      <c r="FH130" s="10"/>
    </row>
    <row r="131" spans="2:164" x14ac:dyDescent="0.25">
      <c r="B131"/>
      <c r="C131"/>
      <c r="D131"/>
      <c r="E131"/>
      <c r="F131" s="16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 s="16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 s="12"/>
      <c r="AK131" s="12"/>
      <c r="AL131" s="17"/>
      <c r="AN131" s="17"/>
      <c r="AP131" s="17"/>
      <c r="AQ131" s="12"/>
      <c r="AR131" s="12"/>
      <c r="AT131" s="17"/>
      <c r="AU131" s="12"/>
      <c r="AV131" s="12"/>
      <c r="AW131" s="17"/>
      <c r="AX131" s="12"/>
      <c r="AY131" s="12"/>
      <c r="BA131" s="12"/>
      <c r="BB131" s="12"/>
      <c r="BC131" s="17"/>
      <c r="BD131" s="12"/>
      <c r="BE131" s="12"/>
      <c r="BG131" s="12"/>
      <c r="BH131" s="12"/>
      <c r="BJ131" s="12"/>
      <c r="BK131" s="12"/>
      <c r="BM131" s="12"/>
      <c r="BN131" s="12"/>
      <c r="BO131" s="17"/>
      <c r="BQ131" s="12"/>
      <c r="BR131" s="12"/>
      <c r="BU131" s="12"/>
      <c r="BV131" s="12"/>
      <c r="BY131" s="12"/>
      <c r="BZ131" s="12"/>
      <c r="CA131" s="17"/>
      <c r="CB131" s="17"/>
      <c r="CC131" s="12"/>
      <c r="CD131" s="12"/>
      <c r="CE131"/>
      <c r="CG131" s="12"/>
      <c r="CH131" s="12"/>
      <c r="CJ131" s="12"/>
      <c r="CK131" s="12"/>
      <c r="CN131" s="12"/>
      <c r="CO131" s="12"/>
      <c r="CT131"/>
      <c r="CV131" s="12"/>
      <c r="CW131" s="12"/>
      <c r="CZ131" s="12"/>
      <c r="DA131" s="12"/>
      <c r="DC131" s="12"/>
      <c r="DD131" s="12"/>
      <c r="DE131" s="17"/>
      <c r="DF131" s="17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X131" s="9"/>
      <c r="EY131" s="9"/>
      <c r="EZ131" s="9"/>
      <c r="FA131" s="15"/>
      <c r="FB131" s="14"/>
      <c r="FC131" s="10"/>
      <c r="FD131" s="10"/>
      <c r="FE131" s="10"/>
      <c r="FF131" s="10"/>
      <c r="FG131" s="10"/>
      <c r="FH131" s="10"/>
    </row>
    <row r="132" spans="2:164" x14ac:dyDescent="0.25">
      <c r="B132"/>
      <c r="C132"/>
      <c r="D132"/>
      <c r="E132"/>
      <c r="F132" s="16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 s="16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 s="12"/>
      <c r="AK132" s="12"/>
      <c r="AL132" s="17"/>
      <c r="AN132" s="17"/>
      <c r="AP132" s="17"/>
      <c r="AQ132" s="12"/>
      <c r="AR132" s="12"/>
      <c r="AT132" s="17"/>
      <c r="AU132" s="12"/>
      <c r="AV132" s="12"/>
      <c r="AW132" s="17"/>
      <c r="AX132" s="12"/>
      <c r="AY132" s="12"/>
      <c r="BA132" s="12"/>
      <c r="BB132" s="12"/>
      <c r="BC132" s="17"/>
      <c r="BD132" s="12"/>
      <c r="BE132" s="12"/>
      <c r="BG132" s="12"/>
      <c r="BH132" s="12"/>
      <c r="BJ132" s="12"/>
      <c r="BK132" s="12"/>
      <c r="BM132" s="12"/>
      <c r="BN132" s="12"/>
      <c r="BO132" s="17"/>
      <c r="BQ132" s="12"/>
      <c r="BR132" s="12"/>
      <c r="BU132" s="12"/>
      <c r="BV132" s="12"/>
      <c r="BY132" s="12"/>
      <c r="BZ132" s="12"/>
      <c r="CA132" s="17"/>
      <c r="CB132" s="17"/>
      <c r="CC132" s="12"/>
      <c r="CD132" s="12"/>
      <c r="CE132"/>
      <c r="CG132" s="12"/>
      <c r="CH132" s="12"/>
      <c r="CJ132" s="12"/>
      <c r="CK132" s="12"/>
      <c r="CN132" s="12"/>
      <c r="CO132" s="12"/>
      <c r="CT132"/>
      <c r="CV132" s="12"/>
      <c r="CW132" s="12"/>
      <c r="CZ132" s="12"/>
      <c r="DA132" s="12"/>
      <c r="DC132" s="12"/>
      <c r="DD132" s="12"/>
      <c r="DF132" s="17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X132" s="9"/>
      <c r="EY132" s="9"/>
      <c r="EZ132" s="9"/>
      <c r="FA132" s="15"/>
      <c r="FB132" s="14"/>
      <c r="FC132" s="10"/>
      <c r="FD132" s="10"/>
      <c r="FE132" s="10"/>
      <c r="FF132" s="10"/>
      <c r="FG132" s="10"/>
      <c r="FH132" s="10"/>
    </row>
    <row r="133" spans="2:164" x14ac:dyDescent="0.25">
      <c r="B133"/>
      <c r="C133"/>
      <c r="D133"/>
      <c r="E133"/>
      <c r="F133" s="16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 s="16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 s="12"/>
      <c r="AK133" s="12"/>
      <c r="AL133" s="17"/>
      <c r="AN133" s="17"/>
      <c r="AP133" s="17"/>
      <c r="AQ133" s="12"/>
      <c r="AR133" s="12"/>
      <c r="AT133" s="17"/>
      <c r="AU133" s="12"/>
      <c r="AV133" s="12"/>
      <c r="AW133" s="17"/>
      <c r="AX133" s="12"/>
      <c r="AY133" s="12"/>
      <c r="AZ133" s="17"/>
      <c r="BA133" s="12"/>
      <c r="BB133" s="12"/>
      <c r="BD133" s="12"/>
      <c r="BE133" s="12"/>
      <c r="BG133" s="12"/>
      <c r="BH133" s="12"/>
      <c r="BJ133" s="12"/>
      <c r="BK133" s="12"/>
      <c r="BM133" s="12"/>
      <c r="BN133" s="12"/>
      <c r="BO133" s="17"/>
      <c r="BQ133" s="12"/>
      <c r="BR133" s="12"/>
      <c r="BU133" s="12"/>
      <c r="BV133" s="12"/>
      <c r="BY133" s="12"/>
      <c r="BZ133" s="12"/>
      <c r="CA133" s="17"/>
      <c r="CB133" s="17"/>
      <c r="CC133" s="12"/>
      <c r="CD133" s="12"/>
      <c r="CE133"/>
      <c r="CG133" s="12"/>
      <c r="CH133" s="12"/>
      <c r="CJ133" s="12"/>
      <c r="CK133" s="12"/>
      <c r="CN133" s="12"/>
      <c r="CO133" s="12"/>
      <c r="CT133"/>
      <c r="CV133" s="12"/>
      <c r="CW133" s="12"/>
      <c r="CZ133" s="12"/>
      <c r="DA133" s="12"/>
      <c r="DC133" s="12"/>
      <c r="DD133" s="12"/>
      <c r="DF133" s="17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X133" s="9"/>
      <c r="EY133" s="9"/>
      <c r="EZ133" s="9"/>
      <c r="FA133" s="15"/>
      <c r="FB133" s="14"/>
      <c r="FC133" s="10"/>
      <c r="FD133" s="10"/>
      <c r="FE133" s="10"/>
      <c r="FF133" s="10"/>
      <c r="FG133" s="10"/>
      <c r="FH133" s="10"/>
    </row>
    <row r="134" spans="2:164" x14ac:dyDescent="0.25">
      <c r="B134"/>
      <c r="C134"/>
      <c r="D134"/>
      <c r="E134"/>
      <c r="F134" s="16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 s="16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 s="12"/>
      <c r="AK134" s="12"/>
      <c r="AL134" s="17"/>
      <c r="AN134" s="17"/>
      <c r="AP134" s="17"/>
      <c r="AQ134" s="12"/>
      <c r="AR134" s="12"/>
      <c r="AT134" s="17"/>
      <c r="AU134" s="12"/>
      <c r="AV134" s="12"/>
      <c r="AW134" s="17"/>
      <c r="AX134" s="12"/>
      <c r="AY134" s="12"/>
      <c r="AZ134" s="17"/>
      <c r="BA134" s="12"/>
      <c r="BB134" s="12"/>
      <c r="BD134" s="12"/>
      <c r="BE134" s="12"/>
      <c r="BG134" s="12"/>
      <c r="BH134" s="12"/>
      <c r="BJ134" s="12"/>
      <c r="BK134" s="12"/>
      <c r="BM134" s="12"/>
      <c r="BN134" s="12"/>
      <c r="BO134" s="17"/>
      <c r="BQ134" s="12"/>
      <c r="BR134" s="12"/>
      <c r="BU134" s="12"/>
      <c r="BV134" s="12"/>
      <c r="BY134" s="12"/>
      <c r="BZ134" s="12"/>
      <c r="CA134" s="17"/>
      <c r="CB134" s="17"/>
      <c r="CC134" s="12"/>
      <c r="CD134" s="12"/>
      <c r="CE134"/>
      <c r="CG134" s="12"/>
      <c r="CH134" s="12"/>
      <c r="CJ134" s="12"/>
      <c r="CK134" s="12"/>
      <c r="CN134" s="12"/>
      <c r="CO134" s="12"/>
      <c r="CT134"/>
      <c r="CV134" s="12"/>
      <c r="CW134" s="12"/>
      <c r="CZ134" s="12"/>
      <c r="DA134" s="12"/>
      <c r="DC134" s="12"/>
      <c r="DD134" s="12"/>
      <c r="DF134" s="17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X134" s="9"/>
      <c r="EY134" s="9"/>
      <c r="EZ134" s="9"/>
      <c r="FA134" s="15"/>
      <c r="FB134" s="14"/>
      <c r="FC134" s="10"/>
      <c r="FD134" s="10"/>
      <c r="FE134" s="10"/>
      <c r="FF134" s="10"/>
      <c r="FG134" s="10"/>
      <c r="FH134" s="10"/>
    </row>
    <row r="135" spans="2:164" x14ac:dyDescent="0.25">
      <c r="B135"/>
      <c r="C135"/>
      <c r="D135"/>
      <c r="E135"/>
      <c r="F135" s="16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 s="16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 s="12"/>
      <c r="AK135" s="12"/>
      <c r="AL135" s="17"/>
      <c r="AN135" s="17"/>
      <c r="AP135" s="17"/>
      <c r="AQ135" s="12"/>
      <c r="AR135" s="12"/>
      <c r="AT135" s="17"/>
      <c r="AU135" s="12"/>
      <c r="AV135" s="12"/>
      <c r="AW135" s="17"/>
      <c r="AX135" s="12"/>
      <c r="AY135" s="12"/>
      <c r="BA135" s="12"/>
      <c r="BB135" s="12"/>
      <c r="BC135" s="17"/>
      <c r="BD135" s="12"/>
      <c r="BE135" s="12"/>
      <c r="BG135" s="12"/>
      <c r="BH135" s="12"/>
      <c r="BJ135" s="12"/>
      <c r="BK135" s="12"/>
      <c r="BM135" s="12"/>
      <c r="BN135" s="12"/>
      <c r="BO135" s="17"/>
      <c r="BQ135" s="12"/>
      <c r="BR135" s="12"/>
      <c r="BS135" s="17"/>
      <c r="BT135" s="17"/>
      <c r="BU135" s="12"/>
      <c r="BV135" s="12"/>
      <c r="BY135" s="12"/>
      <c r="BZ135" s="12"/>
      <c r="CC135" s="12"/>
      <c r="CD135" s="12"/>
      <c r="CE135"/>
      <c r="CG135" s="12"/>
      <c r="CH135" s="12"/>
      <c r="CI135" s="17"/>
      <c r="CJ135" s="12"/>
      <c r="CK135" s="12"/>
      <c r="CN135" s="12"/>
      <c r="CO135" s="12"/>
      <c r="CT135"/>
      <c r="CV135" s="12"/>
      <c r="CW135" s="12"/>
      <c r="CZ135" s="12"/>
      <c r="DA135" s="12"/>
      <c r="DC135" s="12"/>
      <c r="DD135" s="12"/>
      <c r="DF135" s="17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X135" s="9"/>
      <c r="EY135" s="9"/>
      <c r="EZ135" s="9"/>
      <c r="FA135" s="15"/>
      <c r="FB135" s="14"/>
      <c r="FC135" s="10"/>
      <c r="FD135" s="10"/>
      <c r="FE135" s="10"/>
      <c r="FF135" s="10"/>
      <c r="FG135" s="10"/>
      <c r="FH135" s="10"/>
    </row>
    <row r="136" spans="2:164" x14ac:dyDescent="0.25">
      <c r="B136"/>
      <c r="C136"/>
      <c r="D136"/>
      <c r="E136"/>
      <c r="F136" s="1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 s="1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 s="12"/>
      <c r="AK136" s="12"/>
      <c r="AL136" s="17"/>
      <c r="AN136" s="17"/>
      <c r="AP136" s="17"/>
      <c r="AQ136" s="12"/>
      <c r="AR136" s="12"/>
      <c r="AT136" s="17"/>
      <c r="AU136" s="12"/>
      <c r="AV136" s="12"/>
      <c r="AW136" s="17"/>
      <c r="AX136" s="12"/>
      <c r="AY136" s="12"/>
      <c r="AZ136" s="17"/>
      <c r="BA136" s="12"/>
      <c r="BB136" s="12"/>
      <c r="BD136" s="12"/>
      <c r="BE136" s="12"/>
      <c r="BG136" s="12"/>
      <c r="BH136" s="12"/>
      <c r="BJ136" s="12"/>
      <c r="BK136" s="12"/>
      <c r="BM136" s="12"/>
      <c r="BN136" s="12"/>
      <c r="BO136" s="17"/>
      <c r="BQ136" s="12"/>
      <c r="BR136" s="12"/>
      <c r="BU136" s="12"/>
      <c r="BV136" s="12"/>
      <c r="BY136" s="12"/>
      <c r="BZ136" s="12"/>
      <c r="CC136" s="12"/>
      <c r="CD136" s="12"/>
      <c r="CE136"/>
      <c r="CG136" s="12"/>
      <c r="CH136" s="12"/>
      <c r="CJ136" s="12"/>
      <c r="CK136" s="12"/>
      <c r="CN136" s="12"/>
      <c r="CO136" s="12"/>
      <c r="CT136"/>
      <c r="CV136" s="12"/>
      <c r="CW136" s="12"/>
      <c r="CZ136" s="12"/>
      <c r="DA136" s="12"/>
      <c r="DC136" s="12"/>
      <c r="DD136" s="12"/>
      <c r="DE136" s="17"/>
      <c r="DF136" s="17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X136" s="9"/>
      <c r="EY136" s="9"/>
      <c r="EZ136" s="9"/>
      <c r="FA136" s="15"/>
      <c r="FB136" s="14"/>
      <c r="FC136" s="10"/>
      <c r="FD136" s="10"/>
      <c r="FE136" s="10"/>
      <c r="FF136" s="10"/>
      <c r="FG136" s="10"/>
      <c r="FH136" s="10"/>
    </row>
    <row r="137" spans="2:164" x14ac:dyDescent="0.25">
      <c r="B137"/>
      <c r="C137"/>
      <c r="D137"/>
      <c r="E137"/>
      <c r="F137" s="16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 s="16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 s="12"/>
      <c r="AK137" s="12"/>
      <c r="AL137" s="17"/>
      <c r="AN137" s="17"/>
      <c r="AP137" s="17"/>
      <c r="AQ137" s="12"/>
      <c r="AR137" s="12"/>
      <c r="AT137" s="17"/>
      <c r="AU137" s="12"/>
      <c r="AV137" s="12"/>
      <c r="AW137" s="17"/>
      <c r="AX137" s="12"/>
      <c r="AY137" s="12"/>
      <c r="BA137" s="12"/>
      <c r="BB137" s="12"/>
      <c r="BC137" s="17"/>
      <c r="BD137" s="12"/>
      <c r="BE137" s="12"/>
      <c r="BG137" s="12"/>
      <c r="BH137" s="12"/>
      <c r="BJ137" s="12"/>
      <c r="BK137" s="12"/>
      <c r="BM137" s="12"/>
      <c r="BN137" s="12"/>
      <c r="BO137" s="17"/>
      <c r="BQ137" s="12"/>
      <c r="BR137" s="12"/>
      <c r="BU137" s="12"/>
      <c r="BV137" s="12"/>
      <c r="BW137" s="17"/>
      <c r="BX137" s="17"/>
      <c r="BY137" s="12"/>
      <c r="BZ137" s="12"/>
      <c r="CC137" s="12"/>
      <c r="CD137" s="12"/>
      <c r="CE137"/>
      <c r="CG137" s="12"/>
      <c r="CH137" s="12"/>
      <c r="CI137" s="17"/>
      <c r="CJ137" s="12"/>
      <c r="CK137" s="12"/>
      <c r="CN137" s="12"/>
      <c r="CO137" s="12"/>
      <c r="CT137"/>
      <c r="CV137" s="12"/>
      <c r="CW137" s="12"/>
      <c r="CZ137" s="12"/>
      <c r="DA137" s="12"/>
      <c r="DC137" s="12"/>
      <c r="DD137" s="12"/>
      <c r="DE137" s="17"/>
      <c r="DF137" s="1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X137" s="9"/>
      <c r="EY137" s="9"/>
      <c r="EZ137" s="9"/>
      <c r="FA137" s="15"/>
      <c r="FB137" s="14"/>
      <c r="FC137" s="10"/>
      <c r="FD137" s="10"/>
      <c r="FE137" s="10"/>
      <c r="FF137" s="10"/>
      <c r="FG137" s="10"/>
      <c r="FH137" s="10"/>
    </row>
    <row r="138" spans="2:164" x14ac:dyDescent="0.25">
      <c r="B138"/>
      <c r="C138"/>
      <c r="D138"/>
      <c r="E138"/>
      <c r="F138" s="16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 s="16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 s="12"/>
      <c r="AK138" s="12"/>
      <c r="AL138" s="17"/>
      <c r="AN138" s="17"/>
      <c r="AP138" s="17"/>
      <c r="AQ138" s="12"/>
      <c r="AR138" s="12"/>
      <c r="AT138" s="17"/>
      <c r="AU138" s="12"/>
      <c r="AV138" s="12"/>
      <c r="AW138" s="17"/>
      <c r="AX138" s="12"/>
      <c r="AY138" s="12"/>
      <c r="BA138" s="12"/>
      <c r="BB138" s="12"/>
      <c r="BC138" s="17"/>
      <c r="BD138" s="12"/>
      <c r="BE138" s="12"/>
      <c r="BG138" s="12"/>
      <c r="BH138" s="12"/>
      <c r="BJ138" s="12"/>
      <c r="BK138" s="12"/>
      <c r="BM138" s="12"/>
      <c r="BN138" s="12"/>
      <c r="BO138" s="17"/>
      <c r="BQ138" s="12"/>
      <c r="BR138" s="12"/>
      <c r="BU138" s="12"/>
      <c r="BV138" s="12"/>
      <c r="BY138" s="12"/>
      <c r="BZ138" s="12"/>
      <c r="CC138" s="12"/>
      <c r="CD138" s="12"/>
      <c r="CE138"/>
      <c r="CG138" s="12"/>
      <c r="CH138" s="12"/>
      <c r="CJ138" s="12"/>
      <c r="CK138" s="12"/>
      <c r="CN138" s="12"/>
      <c r="CO138" s="12"/>
      <c r="CT138"/>
      <c r="CV138" s="12"/>
      <c r="CW138" s="12"/>
      <c r="CZ138" s="12"/>
      <c r="DA138" s="12"/>
      <c r="DC138" s="12"/>
      <c r="DD138" s="12"/>
      <c r="DE138" s="17"/>
      <c r="DF138" s="17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X138" s="9"/>
      <c r="EY138" s="9"/>
      <c r="EZ138" s="9"/>
      <c r="FA138" s="15"/>
      <c r="FB138" s="14"/>
      <c r="FC138" s="10"/>
      <c r="FD138" s="10"/>
      <c r="FE138" s="10"/>
      <c r="FF138" s="10"/>
      <c r="FG138" s="10"/>
      <c r="FH138" s="10"/>
    </row>
    <row r="139" spans="2:164" x14ac:dyDescent="0.25">
      <c r="B139"/>
      <c r="C139"/>
      <c r="D139"/>
      <c r="E139"/>
      <c r="F139" s="16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 s="16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 s="12"/>
      <c r="AK139" s="12"/>
      <c r="AL139" s="17"/>
      <c r="AN139" s="17"/>
      <c r="AP139" s="17"/>
      <c r="AQ139" s="12"/>
      <c r="AR139" s="12"/>
      <c r="AT139" s="17"/>
      <c r="AU139" s="12"/>
      <c r="AV139" s="12"/>
      <c r="AW139" s="17"/>
      <c r="AX139" s="12"/>
      <c r="AY139" s="12"/>
      <c r="BA139" s="12"/>
      <c r="BB139" s="12"/>
      <c r="BC139" s="17"/>
      <c r="BD139" s="12"/>
      <c r="BE139" s="12"/>
      <c r="BG139" s="12"/>
      <c r="BH139" s="12"/>
      <c r="BJ139" s="12"/>
      <c r="BK139" s="12"/>
      <c r="BM139" s="12"/>
      <c r="BN139" s="12"/>
      <c r="BO139" s="17"/>
      <c r="BQ139" s="12"/>
      <c r="BR139" s="12"/>
      <c r="BU139" s="12"/>
      <c r="BV139" s="12"/>
      <c r="BW139" s="17"/>
      <c r="BX139" s="17"/>
      <c r="BY139" s="12"/>
      <c r="BZ139" s="12"/>
      <c r="CC139" s="12"/>
      <c r="CD139" s="12"/>
      <c r="CE139"/>
      <c r="CG139" s="12"/>
      <c r="CH139" s="12"/>
      <c r="CJ139" s="12"/>
      <c r="CK139" s="12"/>
      <c r="CL139" s="17"/>
      <c r="CM139" s="17"/>
      <c r="CN139" s="12"/>
      <c r="CO139" s="12"/>
      <c r="CT139"/>
      <c r="CV139" s="12"/>
      <c r="CW139" s="12"/>
      <c r="CZ139" s="12"/>
      <c r="DA139" s="12"/>
      <c r="DC139" s="12"/>
      <c r="DD139" s="12"/>
      <c r="DF139" s="17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X139" s="9"/>
      <c r="EY139" s="9"/>
      <c r="EZ139" s="9"/>
      <c r="FA139" s="15"/>
      <c r="FB139" s="14"/>
      <c r="FC139" s="10"/>
      <c r="FD139" s="10"/>
      <c r="FE139" s="10"/>
      <c r="FF139" s="10"/>
      <c r="FG139" s="10"/>
      <c r="FH139" s="10"/>
    </row>
    <row r="140" spans="2:164" x14ac:dyDescent="0.25">
      <c r="B140"/>
      <c r="C140"/>
      <c r="D140"/>
      <c r="E140"/>
      <c r="F140" s="16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 s="16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 s="12"/>
      <c r="AK140" s="12"/>
      <c r="AL140" s="17"/>
      <c r="AN140" s="17"/>
      <c r="AP140" s="17"/>
      <c r="AQ140" s="12"/>
      <c r="AR140" s="12"/>
      <c r="AT140" s="17"/>
      <c r="AU140" s="12"/>
      <c r="AV140" s="12"/>
      <c r="AW140" s="17"/>
      <c r="AX140" s="12"/>
      <c r="AY140" s="12"/>
      <c r="BA140" s="12"/>
      <c r="BB140" s="12"/>
      <c r="BC140" s="17"/>
      <c r="BD140" s="12"/>
      <c r="BE140" s="12"/>
      <c r="BG140" s="12"/>
      <c r="BH140" s="12"/>
      <c r="BJ140" s="12"/>
      <c r="BK140" s="12"/>
      <c r="BM140" s="12"/>
      <c r="BN140" s="12"/>
      <c r="BO140" s="17"/>
      <c r="BQ140" s="12"/>
      <c r="BR140" s="12"/>
      <c r="BU140" s="12"/>
      <c r="BV140" s="12"/>
      <c r="BY140" s="12"/>
      <c r="BZ140" s="12"/>
      <c r="CA140" s="17"/>
      <c r="CB140" s="17"/>
      <c r="CC140" s="12"/>
      <c r="CD140" s="12"/>
      <c r="CE140"/>
      <c r="CG140" s="12"/>
      <c r="CH140" s="12"/>
      <c r="CJ140" s="12"/>
      <c r="CK140" s="12"/>
      <c r="CN140" s="12"/>
      <c r="CO140" s="12"/>
      <c r="CT140"/>
      <c r="CV140" s="12"/>
      <c r="CW140" s="12"/>
      <c r="CZ140" s="12"/>
      <c r="DA140" s="12"/>
      <c r="DC140" s="12"/>
      <c r="DD140" s="12"/>
      <c r="DE140" s="17"/>
      <c r="DF140" s="17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X140" s="9"/>
      <c r="EY140" s="9"/>
      <c r="EZ140" s="9"/>
      <c r="FA140" s="15"/>
      <c r="FB140" s="14"/>
      <c r="FC140" s="10"/>
      <c r="FD140" s="10"/>
      <c r="FE140" s="10"/>
      <c r="FF140" s="10"/>
      <c r="FG140" s="10"/>
      <c r="FH140" s="10"/>
    </row>
    <row r="141" spans="2:164" x14ac:dyDescent="0.25">
      <c r="B141"/>
      <c r="C141"/>
      <c r="D141"/>
      <c r="E141"/>
      <c r="F141" s="16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 s="16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 s="12"/>
      <c r="AK141" s="12"/>
      <c r="AL141" s="17"/>
      <c r="AN141" s="17"/>
      <c r="AP141" s="17"/>
      <c r="AQ141" s="12"/>
      <c r="AR141" s="12"/>
      <c r="AT141" s="17"/>
      <c r="AU141" s="12"/>
      <c r="AV141" s="12"/>
      <c r="AW141" s="17"/>
      <c r="AX141" s="12"/>
      <c r="AY141" s="12"/>
      <c r="BA141" s="12"/>
      <c r="BB141" s="12"/>
      <c r="BC141" s="17"/>
      <c r="BD141" s="12"/>
      <c r="BE141" s="12"/>
      <c r="BG141" s="12"/>
      <c r="BH141" s="12"/>
      <c r="BJ141" s="12"/>
      <c r="BK141" s="12"/>
      <c r="BM141" s="12"/>
      <c r="BN141" s="12"/>
      <c r="BO141" s="17"/>
      <c r="BQ141" s="12"/>
      <c r="BR141" s="12"/>
      <c r="BU141" s="12"/>
      <c r="BV141" s="12"/>
      <c r="BY141" s="12"/>
      <c r="BZ141" s="12"/>
      <c r="CA141" s="17"/>
      <c r="CB141" s="17"/>
      <c r="CC141" s="12"/>
      <c r="CD141" s="12"/>
      <c r="CE141"/>
      <c r="CG141" s="12"/>
      <c r="CH141" s="12"/>
      <c r="CJ141" s="12"/>
      <c r="CK141" s="12"/>
      <c r="CN141" s="12"/>
      <c r="CO141" s="12"/>
      <c r="CT141"/>
      <c r="CV141" s="12"/>
      <c r="CW141" s="12"/>
      <c r="CZ141" s="12"/>
      <c r="DA141" s="12"/>
      <c r="DC141" s="12"/>
      <c r="DD141" s="12"/>
      <c r="DF141" s="17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X141" s="9"/>
      <c r="EY141" s="9"/>
      <c r="EZ141" s="9"/>
      <c r="FA141" s="15"/>
      <c r="FB141" s="14"/>
      <c r="FC141" s="10"/>
      <c r="FD141" s="10"/>
      <c r="FE141" s="10"/>
      <c r="FF141" s="10"/>
      <c r="FG141" s="10"/>
      <c r="FH141" s="10"/>
    </row>
    <row r="142" spans="2:164" x14ac:dyDescent="0.25">
      <c r="B142"/>
      <c r="C142"/>
      <c r="D142"/>
      <c r="E142"/>
      <c r="F142" s="16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 s="16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 s="12"/>
      <c r="AK142" s="12"/>
      <c r="AL142" s="17"/>
      <c r="AN142" s="17"/>
      <c r="AP142" s="17"/>
      <c r="AQ142" s="12"/>
      <c r="AR142" s="12"/>
      <c r="AT142" s="17"/>
      <c r="AU142" s="12"/>
      <c r="AV142" s="12"/>
      <c r="AW142" s="17"/>
      <c r="AX142" s="12"/>
      <c r="AY142" s="12"/>
      <c r="BA142" s="12"/>
      <c r="BB142" s="12"/>
      <c r="BC142" s="17"/>
      <c r="BD142" s="12"/>
      <c r="BE142" s="12"/>
      <c r="BG142" s="12"/>
      <c r="BH142" s="12"/>
      <c r="BJ142" s="12"/>
      <c r="BK142" s="12"/>
      <c r="BM142" s="12"/>
      <c r="BN142" s="12"/>
      <c r="BO142" s="17"/>
      <c r="BQ142" s="12"/>
      <c r="BR142" s="12"/>
      <c r="BU142" s="12"/>
      <c r="BV142" s="12"/>
      <c r="BY142" s="12"/>
      <c r="BZ142" s="12"/>
      <c r="CC142" s="12"/>
      <c r="CD142" s="12"/>
      <c r="CE142"/>
      <c r="CG142" s="12"/>
      <c r="CH142" s="12"/>
      <c r="CJ142" s="12"/>
      <c r="CK142" s="12"/>
      <c r="CN142" s="12"/>
      <c r="CO142" s="12"/>
      <c r="CT142"/>
      <c r="CV142" s="12"/>
      <c r="CW142" s="12"/>
      <c r="CZ142" s="12"/>
      <c r="DA142" s="12"/>
      <c r="DC142" s="12"/>
      <c r="DD142" s="12"/>
      <c r="DE142" s="17"/>
      <c r="DF142" s="17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X142" s="9"/>
      <c r="EY142" s="9"/>
      <c r="EZ142" s="9"/>
      <c r="FA142" s="15"/>
      <c r="FB142" s="14"/>
      <c r="FC142" s="10"/>
      <c r="FD142" s="10"/>
      <c r="FE142" s="10"/>
      <c r="FF142" s="10"/>
      <c r="FG142" s="10"/>
      <c r="FH142" s="10"/>
    </row>
    <row r="143" spans="2:164" x14ac:dyDescent="0.25">
      <c r="B143"/>
      <c r="C143"/>
      <c r="D143"/>
      <c r="E143"/>
      <c r="F143" s="16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 s="16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 s="12"/>
      <c r="AK143" s="12"/>
      <c r="AL143" s="17"/>
      <c r="AN143" s="17"/>
      <c r="AP143" s="17"/>
      <c r="AQ143" s="12"/>
      <c r="AR143" s="12"/>
      <c r="AT143" s="17"/>
      <c r="AU143" s="12"/>
      <c r="AV143" s="12"/>
      <c r="AW143" s="17"/>
      <c r="AX143" s="12"/>
      <c r="AY143" s="12"/>
      <c r="BA143" s="12"/>
      <c r="BB143" s="12"/>
      <c r="BC143" s="17"/>
      <c r="BD143" s="12"/>
      <c r="BE143" s="12"/>
      <c r="BG143" s="12"/>
      <c r="BH143" s="12"/>
      <c r="BJ143" s="12"/>
      <c r="BK143" s="12"/>
      <c r="BM143" s="12"/>
      <c r="BN143" s="12"/>
      <c r="BO143" s="17"/>
      <c r="BQ143" s="12"/>
      <c r="BR143" s="12"/>
      <c r="BS143" s="17"/>
      <c r="BT143" s="17"/>
      <c r="BU143" s="12"/>
      <c r="BV143" s="12"/>
      <c r="BY143" s="12"/>
      <c r="BZ143" s="12"/>
      <c r="CC143" s="12"/>
      <c r="CD143" s="12"/>
      <c r="CE143"/>
      <c r="CG143" s="12"/>
      <c r="CH143" s="12"/>
      <c r="CJ143" s="12"/>
      <c r="CK143" s="12"/>
      <c r="CL143" s="17"/>
      <c r="CM143" s="17"/>
      <c r="CN143" s="12"/>
      <c r="CO143" s="12"/>
      <c r="CT143"/>
      <c r="CV143" s="12"/>
      <c r="CW143" s="12"/>
      <c r="CZ143" s="12"/>
      <c r="DA143" s="12"/>
      <c r="DC143" s="12"/>
      <c r="DD143" s="12"/>
      <c r="DF143" s="17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X143" s="9"/>
      <c r="EY143" s="9"/>
      <c r="EZ143" s="9"/>
      <c r="FA143" s="15"/>
      <c r="FB143" s="14"/>
      <c r="FC143" s="10"/>
      <c r="FD143" s="10"/>
      <c r="FE143" s="10"/>
      <c r="FF143" s="10"/>
      <c r="FG143" s="10"/>
      <c r="FH143" s="10"/>
    </row>
    <row r="144" spans="2:164" x14ac:dyDescent="0.25">
      <c r="B144"/>
      <c r="C144"/>
      <c r="D144"/>
      <c r="E144"/>
      <c r="F144" s="16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 s="16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 s="12"/>
      <c r="AK144" s="12"/>
      <c r="AL144" s="17"/>
      <c r="AN144" s="17"/>
      <c r="AP144" s="17"/>
      <c r="AQ144" s="12"/>
      <c r="AR144" s="12"/>
      <c r="AT144" s="17"/>
      <c r="AU144" s="12"/>
      <c r="AV144" s="12"/>
      <c r="AW144" s="17"/>
      <c r="AX144" s="12"/>
      <c r="AY144" s="12"/>
      <c r="BA144" s="12"/>
      <c r="BB144" s="12"/>
      <c r="BC144" s="17"/>
      <c r="BD144" s="12"/>
      <c r="BE144" s="12"/>
      <c r="BG144" s="12"/>
      <c r="BH144" s="12"/>
      <c r="BJ144" s="12"/>
      <c r="BK144" s="12"/>
      <c r="BM144" s="12"/>
      <c r="BN144" s="12"/>
      <c r="BO144" s="17"/>
      <c r="BQ144" s="12"/>
      <c r="BR144" s="12"/>
      <c r="BS144" s="17"/>
      <c r="BT144" s="17"/>
      <c r="BU144" s="12"/>
      <c r="BV144" s="12"/>
      <c r="BY144" s="12"/>
      <c r="BZ144" s="12"/>
      <c r="CC144" s="12"/>
      <c r="CD144" s="12"/>
      <c r="CE144"/>
      <c r="CG144" s="12"/>
      <c r="CH144" s="12"/>
      <c r="CJ144" s="12"/>
      <c r="CK144" s="12"/>
      <c r="CL144" s="17"/>
      <c r="CM144" s="17"/>
      <c r="CN144" s="12"/>
      <c r="CO144" s="12"/>
      <c r="CT144"/>
      <c r="CV144" s="12"/>
      <c r="CW144" s="12"/>
      <c r="CZ144" s="12"/>
      <c r="DA144" s="12"/>
      <c r="DC144" s="12"/>
      <c r="DD144" s="12"/>
      <c r="DF144" s="17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X144" s="9"/>
      <c r="EY144" s="9"/>
      <c r="EZ144" s="9"/>
      <c r="FA144" s="15"/>
      <c r="FB144" s="14"/>
      <c r="FC144" s="10"/>
      <c r="FD144" s="10"/>
      <c r="FE144" s="10"/>
      <c r="FF144" s="10"/>
      <c r="FG144" s="10"/>
      <c r="FH144" s="10"/>
    </row>
    <row r="145" spans="2:164" x14ac:dyDescent="0.25">
      <c r="B145"/>
      <c r="C145"/>
      <c r="D145"/>
      <c r="E145"/>
      <c r="F145" s="16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 s="16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 s="12"/>
      <c r="AK145" s="12"/>
      <c r="AL145" s="17"/>
      <c r="AN145" s="17"/>
      <c r="AP145" s="17"/>
      <c r="AQ145" s="12"/>
      <c r="AR145" s="12"/>
      <c r="AT145" s="17"/>
      <c r="AU145" s="12"/>
      <c r="AV145" s="12"/>
      <c r="AW145" s="17"/>
      <c r="AX145" s="12"/>
      <c r="AY145" s="12"/>
      <c r="BA145" s="12"/>
      <c r="BB145" s="12"/>
      <c r="BC145" s="17"/>
      <c r="BD145" s="12"/>
      <c r="BE145" s="12"/>
      <c r="BG145" s="12"/>
      <c r="BH145" s="12"/>
      <c r="BJ145" s="12"/>
      <c r="BK145" s="12"/>
      <c r="BM145" s="12"/>
      <c r="BN145" s="12"/>
      <c r="BO145" s="17"/>
      <c r="BQ145" s="12"/>
      <c r="BR145" s="12"/>
      <c r="BU145" s="12"/>
      <c r="BV145" s="12"/>
      <c r="BY145" s="12"/>
      <c r="BZ145" s="12"/>
      <c r="CC145" s="12"/>
      <c r="CD145" s="12"/>
      <c r="CE145"/>
      <c r="CG145" s="12"/>
      <c r="CH145" s="12"/>
      <c r="CJ145" s="12"/>
      <c r="CK145" s="12"/>
      <c r="CN145" s="12"/>
      <c r="CO145" s="12"/>
      <c r="CT145"/>
      <c r="CV145" s="12"/>
      <c r="CW145" s="12"/>
      <c r="CZ145" s="12"/>
      <c r="DA145" s="12"/>
      <c r="DC145" s="12"/>
      <c r="DD145" s="12"/>
      <c r="DF145" s="17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X145" s="9"/>
      <c r="EY145" s="9"/>
      <c r="EZ145" s="9"/>
      <c r="FA145" s="15"/>
      <c r="FB145" s="14"/>
      <c r="FC145" s="10"/>
      <c r="FD145" s="10"/>
      <c r="FE145" s="10"/>
      <c r="FF145" s="10"/>
      <c r="FG145" s="10"/>
      <c r="FH145" s="10"/>
    </row>
    <row r="146" spans="2:164" x14ac:dyDescent="0.25">
      <c r="B146"/>
      <c r="C146"/>
      <c r="D146"/>
      <c r="E146"/>
      <c r="F146" s="1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 s="1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 s="12"/>
      <c r="AK146" s="12"/>
      <c r="AL146" s="17"/>
      <c r="AN146" s="17"/>
      <c r="AP146" s="17"/>
      <c r="AQ146" s="12"/>
      <c r="AR146" s="12"/>
      <c r="AT146" s="17"/>
      <c r="AU146" s="12"/>
      <c r="AV146" s="12"/>
      <c r="AW146" s="17"/>
      <c r="AX146" s="12"/>
      <c r="AY146" s="12"/>
      <c r="BA146" s="12"/>
      <c r="BB146" s="12"/>
      <c r="BC146" s="17"/>
      <c r="BD146" s="12"/>
      <c r="BE146" s="12"/>
      <c r="BG146" s="12"/>
      <c r="BH146" s="12"/>
      <c r="BJ146" s="12"/>
      <c r="BK146" s="12"/>
      <c r="BM146" s="12"/>
      <c r="BN146" s="12"/>
      <c r="BO146" s="17"/>
      <c r="BQ146" s="12"/>
      <c r="BR146" s="12"/>
      <c r="BU146" s="12"/>
      <c r="BV146" s="12"/>
      <c r="BY146" s="12"/>
      <c r="BZ146" s="12"/>
      <c r="CC146" s="12"/>
      <c r="CD146" s="12"/>
      <c r="CE146"/>
      <c r="CG146" s="12"/>
      <c r="CH146" s="12"/>
      <c r="CJ146" s="12"/>
      <c r="CK146" s="12"/>
      <c r="CN146" s="12"/>
      <c r="CO146" s="12"/>
      <c r="CT146"/>
      <c r="CV146" s="12"/>
      <c r="CW146" s="12"/>
      <c r="CZ146" s="12"/>
      <c r="DA146" s="12"/>
      <c r="DC146" s="12"/>
      <c r="DD146" s="12"/>
      <c r="DE146" s="17"/>
      <c r="DF146" s="17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X146" s="9"/>
      <c r="EY146" s="9"/>
      <c r="EZ146" s="9"/>
      <c r="FA146" s="15"/>
      <c r="FB146" s="14"/>
      <c r="FC146" s="10"/>
      <c r="FD146" s="10"/>
      <c r="FE146" s="10"/>
      <c r="FF146" s="10"/>
      <c r="FG146" s="10"/>
      <c r="FH146" s="10"/>
    </row>
    <row r="147" spans="2:164" x14ac:dyDescent="0.25">
      <c r="B147"/>
      <c r="C147"/>
      <c r="D147"/>
      <c r="E147"/>
      <c r="F147" s="16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 s="16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 s="12"/>
      <c r="AK147" s="12"/>
      <c r="AL147" s="17"/>
      <c r="AN147" s="17"/>
      <c r="AP147" s="17"/>
      <c r="AQ147" s="12"/>
      <c r="AR147" s="12"/>
      <c r="AT147" s="17"/>
      <c r="AU147" s="12"/>
      <c r="AV147" s="12"/>
      <c r="AW147" s="17"/>
      <c r="AX147" s="12"/>
      <c r="AY147" s="12"/>
      <c r="BA147" s="12"/>
      <c r="BB147" s="12"/>
      <c r="BC147" s="17"/>
      <c r="BD147" s="12"/>
      <c r="BE147" s="12"/>
      <c r="BG147" s="12"/>
      <c r="BH147" s="12"/>
      <c r="BJ147" s="12"/>
      <c r="BK147" s="12"/>
      <c r="BM147" s="12"/>
      <c r="BN147" s="12"/>
      <c r="BO147" s="17"/>
      <c r="BQ147" s="12"/>
      <c r="BR147" s="12"/>
      <c r="BS147" s="17"/>
      <c r="BT147" s="17"/>
      <c r="BU147" s="12"/>
      <c r="BV147" s="12"/>
      <c r="BY147" s="12"/>
      <c r="BZ147" s="12"/>
      <c r="CC147" s="12"/>
      <c r="CD147" s="12"/>
      <c r="CE147"/>
      <c r="CG147" s="12"/>
      <c r="CH147" s="12"/>
      <c r="CJ147" s="12"/>
      <c r="CK147" s="12"/>
      <c r="CL147" s="17"/>
      <c r="CM147" s="17"/>
      <c r="CN147" s="12"/>
      <c r="CO147" s="12"/>
      <c r="CT147"/>
      <c r="CV147" s="12"/>
      <c r="CW147" s="12"/>
      <c r="CZ147" s="12"/>
      <c r="DA147" s="12"/>
      <c r="DC147" s="12"/>
      <c r="DD147" s="12"/>
      <c r="DF147" s="1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X147" s="9"/>
      <c r="EY147" s="9"/>
      <c r="EZ147" s="9"/>
      <c r="FA147" s="15"/>
      <c r="FB147" s="14"/>
      <c r="FC147" s="10"/>
      <c r="FD147" s="10"/>
      <c r="FE147" s="10"/>
      <c r="FF147" s="10"/>
      <c r="FG147" s="10"/>
      <c r="FH147" s="10"/>
    </row>
    <row r="148" spans="2:164" x14ac:dyDescent="0.25">
      <c r="B148"/>
      <c r="C148"/>
      <c r="D148"/>
      <c r="E148"/>
      <c r="F148" s="16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 s="16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 s="12"/>
      <c r="AK148" s="12"/>
      <c r="AL148" s="17"/>
      <c r="AN148" s="17"/>
      <c r="AP148" s="17"/>
      <c r="AQ148" s="12"/>
      <c r="AR148" s="12"/>
      <c r="AT148" s="17"/>
      <c r="AU148" s="12"/>
      <c r="AV148" s="12"/>
      <c r="AW148" s="17"/>
      <c r="AX148" s="12"/>
      <c r="AY148" s="12"/>
      <c r="BA148" s="12"/>
      <c r="BB148" s="12"/>
      <c r="BC148" s="17"/>
      <c r="BD148" s="12"/>
      <c r="BE148" s="12"/>
      <c r="BG148" s="12"/>
      <c r="BH148" s="12"/>
      <c r="BJ148" s="12"/>
      <c r="BK148" s="12"/>
      <c r="BM148" s="12"/>
      <c r="BN148" s="12"/>
      <c r="BO148" s="17"/>
      <c r="BQ148" s="12"/>
      <c r="BR148" s="12"/>
      <c r="BU148" s="12"/>
      <c r="BV148" s="12"/>
      <c r="BY148" s="12"/>
      <c r="BZ148" s="12"/>
      <c r="CA148" s="17"/>
      <c r="CB148" s="17"/>
      <c r="CC148" s="12"/>
      <c r="CD148" s="12"/>
      <c r="CE148"/>
      <c r="CG148" s="12"/>
      <c r="CH148" s="12"/>
      <c r="CJ148" s="12"/>
      <c r="CK148" s="12"/>
      <c r="CN148" s="12"/>
      <c r="CO148" s="12"/>
      <c r="CT148"/>
      <c r="CV148" s="12"/>
      <c r="CW148" s="12"/>
      <c r="CZ148" s="12"/>
      <c r="DA148" s="12"/>
      <c r="DC148" s="12"/>
      <c r="DD148" s="12"/>
      <c r="DF148" s="17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X148" s="9"/>
      <c r="EY148" s="9"/>
      <c r="EZ148" s="9"/>
      <c r="FA148" s="15"/>
      <c r="FB148" s="14"/>
      <c r="FC148" s="10"/>
      <c r="FD148" s="10"/>
      <c r="FE148" s="10"/>
      <c r="FF148" s="10"/>
      <c r="FG148" s="10"/>
      <c r="FH148" s="10"/>
    </row>
    <row r="149" spans="2:164" x14ac:dyDescent="0.25">
      <c r="B149"/>
      <c r="C149"/>
      <c r="D149"/>
      <c r="E149"/>
      <c r="F149" s="16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 s="16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 s="12"/>
      <c r="AK149" s="12"/>
      <c r="AL149" s="17"/>
      <c r="AN149" s="17"/>
      <c r="AP149" s="17"/>
      <c r="AQ149" s="12"/>
      <c r="AR149" s="12"/>
      <c r="AT149" s="17"/>
      <c r="AU149" s="12"/>
      <c r="AV149" s="12"/>
      <c r="AW149" s="17"/>
      <c r="AX149" s="12"/>
      <c r="AY149" s="12"/>
      <c r="BA149" s="12"/>
      <c r="BB149" s="12"/>
      <c r="BC149" s="17"/>
      <c r="BD149" s="12"/>
      <c r="BE149" s="12"/>
      <c r="BG149" s="12"/>
      <c r="BH149" s="12"/>
      <c r="BJ149" s="12"/>
      <c r="BK149" s="12"/>
      <c r="BM149" s="12"/>
      <c r="BN149" s="12"/>
      <c r="BO149" s="17"/>
      <c r="BQ149" s="12"/>
      <c r="BR149" s="12"/>
      <c r="BU149" s="12"/>
      <c r="BV149" s="12"/>
      <c r="BY149" s="12"/>
      <c r="BZ149" s="12"/>
      <c r="CA149" s="17"/>
      <c r="CB149" s="17"/>
      <c r="CC149" s="12"/>
      <c r="CD149" s="12"/>
      <c r="CE149"/>
      <c r="CG149" s="12"/>
      <c r="CH149" s="12"/>
      <c r="CJ149" s="12"/>
      <c r="CK149" s="12"/>
      <c r="CN149" s="12"/>
      <c r="CO149" s="12"/>
      <c r="CT149"/>
      <c r="CV149" s="12"/>
      <c r="CW149" s="12"/>
      <c r="CZ149" s="12"/>
      <c r="DA149" s="12"/>
      <c r="DC149" s="12"/>
      <c r="DD149" s="12"/>
      <c r="DE149" s="17"/>
      <c r="DF149" s="17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X149" s="9"/>
      <c r="EY149" s="9"/>
      <c r="EZ149" s="9"/>
      <c r="FA149" s="15"/>
      <c r="FB149" s="14"/>
      <c r="FC149" s="10"/>
      <c r="FD149" s="10"/>
      <c r="FE149" s="10"/>
      <c r="FF149" s="10"/>
      <c r="FG149" s="10"/>
      <c r="FH149" s="10"/>
    </row>
    <row r="150" spans="2:164" x14ac:dyDescent="0.25">
      <c r="B150"/>
      <c r="C150"/>
      <c r="D150"/>
      <c r="E150"/>
      <c r="F150" s="16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 s="16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 s="12"/>
      <c r="AK150" s="12"/>
      <c r="AL150" s="17"/>
      <c r="AN150" s="17"/>
      <c r="AP150" s="17"/>
      <c r="AQ150" s="12"/>
      <c r="AR150" s="12"/>
      <c r="AT150" s="17"/>
      <c r="AU150" s="12"/>
      <c r="AV150" s="12"/>
      <c r="AW150" s="17"/>
      <c r="AX150" s="12"/>
      <c r="AY150" s="12"/>
      <c r="BA150" s="12"/>
      <c r="BB150" s="12"/>
      <c r="BC150" s="17"/>
      <c r="BD150" s="12"/>
      <c r="BE150" s="12"/>
      <c r="BG150" s="12"/>
      <c r="BH150" s="12"/>
      <c r="BJ150" s="12"/>
      <c r="BK150" s="12"/>
      <c r="BM150" s="12"/>
      <c r="BN150" s="12"/>
      <c r="BO150" s="17"/>
      <c r="BQ150" s="12"/>
      <c r="BR150" s="12"/>
      <c r="BU150" s="12"/>
      <c r="BV150" s="12"/>
      <c r="BY150" s="12"/>
      <c r="BZ150" s="12"/>
      <c r="CA150" s="17"/>
      <c r="CB150" s="17"/>
      <c r="CC150" s="12"/>
      <c r="CD150" s="12"/>
      <c r="CE150"/>
      <c r="CG150" s="12"/>
      <c r="CH150" s="12"/>
      <c r="CJ150" s="12"/>
      <c r="CK150" s="12"/>
      <c r="CN150" s="12"/>
      <c r="CO150" s="12"/>
      <c r="CT150"/>
      <c r="CV150" s="12"/>
      <c r="CW150" s="12"/>
      <c r="CZ150" s="12"/>
      <c r="DA150" s="12"/>
      <c r="DC150" s="12"/>
      <c r="DD150" s="12"/>
      <c r="DF150" s="17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X150" s="9"/>
      <c r="EY150" s="9"/>
      <c r="EZ150" s="9"/>
      <c r="FA150" s="15"/>
      <c r="FB150" s="14"/>
      <c r="FC150" s="10"/>
      <c r="FD150" s="10"/>
      <c r="FE150" s="10"/>
      <c r="FF150" s="10"/>
      <c r="FG150" s="10"/>
      <c r="FH150" s="10"/>
    </row>
    <row r="151" spans="2:164" x14ac:dyDescent="0.25">
      <c r="B151"/>
      <c r="C151"/>
      <c r="D151"/>
      <c r="E151"/>
      <c r="F151" s="16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 s="16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 s="12"/>
      <c r="AK151" s="12"/>
      <c r="AL151" s="17"/>
      <c r="AN151" s="17"/>
      <c r="AP151" s="17"/>
      <c r="AQ151" s="12"/>
      <c r="AR151" s="12"/>
      <c r="AT151" s="17"/>
      <c r="AU151" s="12"/>
      <c r="AV151" s="12"/>
      <c r="AW151" s="17"/>
      <c r="AX151" s="12"/>
      <c r="AY151" s="12"/>
      <c r="BA151" s="12"/>
      <c r="BB151" s="12"/>
      <c r="BC151" s="17"/>
      <c r="BD151" s="12"/>
      <c r="BE151" s="12"/>
      <c r="BG151" s="12"/>
      <c r="BH151" s="12"/>
      <c r="BJ151" s="12"/>
      <c r="BK151" s="12"/>
      <c r="BM151" s="12"/>
      <c r="BN151" s="12"/>
      <c r="BO151" s="17"/>
      <c r="BQ151" s="12"/>
      <c r="BR151" s="12"/>
      <c r="BS151" s="17"/>
      <c r="BT151" s="17"/>
      <c r="BU151" s="12"/>
      <c r="BV151" s="12"/>
      <c r="BY151" s="12"/>
      <c r="BZ151" s="12"/>
      <c r="CC151" s="12"/>
      <c r="CD151" s="12"/>
      <c r="CE151"/>
      <c r="CG151" s="12"/>
      <c r="CH151" s="12"/>
      <c r="CI151" s="17"/>
      <c r="CJ151" s="12"/>
      <c r="CK151" s="12"/>
      <c r="CN151" s="12"/>
      <c r="CO151" s="12"/>
      <c r="CT151"/>
      <c r="CV151" s="12"/>
      <c r="CW151" s="12"/>
      <c r="CZ151" s="12"/>
      <c r="DA151" s="12"/>
      <c r="DC151" s="12"/>
      <c r="DD151" s="12"/>
      <c r="DE151" s="17"/>
      <c r="DF151" s="17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X151" s="9"/>
      <c r="EY151" s="9"/>
      <c r="EZ151" s="9"/>
      <c r="FA151" s="15"/>
      <c r="FB151" s="14"/>
      <c r="FC151" s="10"/>
      <c r="FD151" s="10"/>
      <c r="FE151" s="10"/>
      <c r="FF151" s="10"/>
      <c r="FG151" s="10"/>
      <c r="FH151" s="10"/>
    </row>
    <row r="152" spans="2:164" x14ac:dyDescent="0.25">
      <c r="B152"/>
      <c r="C152"/>
      <c r="D152"/>
      <c r="E152"/>
      <c r="F152" s="16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 s="16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 s="12"/>
      <c r="AK152" s="12"/>
      <c r="AL152" s="17"/>
      <c r="AN152" s="17"/>
      <c r="AP152" s="17"/>
      <c r="AQ152" s="12"/>
      <c r="AR152" s="12"/>
      <c r="AT152" s="17"/>
      <c r="AU152" s="12"/>
      <c r="AV152" s="12"/>
      <c r="AW152" s="17"/>
      <c r="AX152" s="12"/>
      <c r="AY152" s="12"/>
      <c r="BA152" s="12"/>
      <c r="BB152" s="12"/>
      <c r="BC152" s="17"/>
      <c r="BD152" s="12"/>
      <c r="BE152" s="12"/>
      <c r="BG152" s="12"/>
      <c r="BH152" s="12"/>
      <c r="BJ152" s="12"/>
      <c r="BK152" s="12"/>
      <c r="BM152" s="12"/>
      <c r="BN152" s="12"/>
      <c r="BO152" s="17"/>
      <c r="BQ152" s="12"/>
      <c r="BR152" s="12"/>
      <c r="BS152" s="17"/>
      <c r="BT152" s="17"/>
      <c r="BU152" s="12"/>
      <c r="BV152" s="12"/>
      <c r="BY152" s="12"/>
      <c r="BZ152" s="12"/>
      <c r="CC152" s="12"/>
      <c r="CD152" s="12"/>
      <c r="CE152"/>
      <c r="CG152" s="12"/>
      <c r="CH152" s="12"/>
      <c r="CI152" s="17"/>
      <c r="CJ152" s="12"/>
      <c r="CK152" s="12"/>
      <c r="CN152" s="12"/>
      <c r="CO152" s="12"/>
      <c r="CT152"/>
      <c r="CV152" s="12"/>
      <c r="CW152" s="12"/>
      <c r="CZ152" s="12"/>
      <c r="DA152" s="12"/>
      <c r="DC152" s="12"/>
      <c r="DD152" s="12"/>
      <c r="DF152" s="17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X152" s="9"/>
      <c r="EY152" s="9"/>
      <c r="EZ152" s="9"/>
      <c r="FA152" s="15"/>
      <c r="FB152" s="14"/>
      <c r="FC152" s="10"/>
      <c r="FD152" s="10"/>
      <c r="FE152" s="10"/>
      <c r="FF152" s="10"/>
      <c r="FG152" s="10"/>
      <c r="FH152" s="10"/>
    </row>
    <row r="153" spans="2:164" x14ac:dyDescent="0.25">
      <c r="B153"/>
      <c r="C153"/>
      <c r="D153"/>
      <c r="E153"/>
      <c r="F153" s="16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 s="16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 s="12"/>
      <c r="AK153" s="12"/>
      <c r="AL153" s="17"/>
      <c r="AN153" s="17"/>
      <c r="AP153" s="17"/>
      <c r="AQ153" s="12"/>
      <c r="AR153" s="12"/>
      <c r="AT153" s="17"/>
      <c r="AU153" s="12"/>
      <c r="AV153" s="12"/>
      <c r="AW153" s="17"/>
      <c r="AX153" s="12"/>
      <c r="AY153" s="12"/>
      <c r="AZ153" s="17"/>
      <c r="BA153" s="12"/>
      <c r="BB153" s="12"/>
      <c r="BD153" s="12"/>
      <c r="BE153" s="12"/>
      <c r="BG153" s="12"/>
      <c r="BH153" s="12"/>
      <c r="BJ153" s="12"/>
      <c r="BK153" s="12"/>
      <c r="BM153" s="12"/>
      <c r="BN153" s="12"/>
      <c r="BO153" s="17"/>
      <c r="BQ153" s="12"/>
      <c r="BR153" s="12"/>
      <c r="BU153" s="12"/>
      <c r="BV153" s="12"/>
      <c r="BY153" s="12"/>
      <c r="BZ153" s="12"/>
      <c r="CA153" s="17"/>
      <c r="CB153" s="17"/>
      <c r="CC153" s="12"/>
      <c r="CD153" s="12"/>
      <c r="CE153"/>
      <c r="CG153" s="12"/>
      <c r="CH153" s="12"/>
      <c r="CJ153" s="12"/>
      <c r="CK153" s="12"/>
      <c r="CN153" s="12"/>
      <c r="CO153" s="12"/>
      <c r="CT153"/>
      <c r="CV153" s="12"/>
      <c r="CW153" s="12"/>
      <c r="CZ153" s="12"/>
      <c r="DA153" s="12"/>
      <c r="DB153" s="17"/>
      <c r="DC153" s="12"/>
      <c r="DD153" s="12"/>
      <c r="DF153" s="17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X153" s="9"/>
      <c r="EY153" s="9"/>
      <c r="EZ153" s="9"/>
      <c r="FA153" s="15"/>
      <c r="FB153" s="14"/>
      <c r="FC153" s="10"/>
      <c r="FD153" s="10"/>
      <c r="FE153" s="10"/>
      <c r="FF153" s="10"/>
      <c r="FG153" s="10"/>
      <c r="FH153" s="10"/>
    </row>
    <row r="154" spans="2:164" x14ac:dyDescent="0.25">
      <c r="B154"/>
      <c r="C154"/>
      <c r="D154"/>
      <c r="E154"/>
      <c r="F154" s="16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 s="16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 s="12"/>
      <c r="AK154" s="12"/>
      <c r="AL154" s="17"/>
      <c r="AN154" s="17"/>
      <c r="AP154" s="17"/>
      <c r="AQ154" s="12"/>
      <c r="AR154" s="12"/>
      <c r="AT154" s="17"/>
      <c r="AU154" s="12"/>
      <c r="AV154" s="12"/>
      <c r="AW154" s="17"/>
      <c r="AX154" s="12"/>
      <c r="AY154" s="12"/>
      <c r="BA154" s="12"/>
      <c r="BB154" s="12"/>
      <c r="BC154" s="17"/>
      <c r="BD154" s="12"/>
      <c r="BE154" s="12"/>
      <c r="BG154" s="12"/>
      <c r="BH154" s="12"/>
      <c r="BJ154" s="12"/>
      <c r="BK154" s="12"/>
      <c r="BM154" s="12"/>
      <c r="BN154" s="12"/>
      <c r="BO154" s="17"/>
      <c r="BQ154" s="12"/>
      <c r="BR154" s="12"/>
      <c r="BU154" s="12"/>
      <c r="BV154" s="12"/>
      <c r="BY154" s="12"/>
      <c r="BZ154" s="12"/>
      <c r="CA154" s="17"/>
      <c r="CB154" s="17"/>
      <c r="CC154" s="12"/>
      <c r="CD154" s="12"/>
      <c r="CE154"/>
      <c r="CG154" s="12"/>
      <c r="CH154" s="12"/>
      <c r="CJ154" s="12"/>
      <c r="CK154" s="12"/>
      <c r="CN154" s="12"/>
      <c r="CO154" s="12"/>
      <c r="CT154"/>
      <c r="CV154" s="12"/>
      <c r="CW154" s="12"/>
      <c r="CZ154" s="12"/>
      <c r="DA154" s="12"/>
      <c r="DB154" s="17"/>
      <c r="DC154" s="12"/>
      <c r="DD154" s="12"/>
      <c r="DF154" s="17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X154" s="9"/>
      <c r="EY154" s="9"/>
      <c r="EZ154" s="9"/>
      <c r="FA154" s="15"/>
      <c r="FB154" s="14"/>
      <c r="FC154" s="10"/>
      <c r="FD154" s="10"/>
      <c r="FE154" s="10"/>
      <c r="FF154" s="10"/>
      <c r="FG154" s="10"/>
      <c r="FH154" s="10"/>
    </row>
    <row r="155" spans="2:164" x14ac:dyDescent="0.25">
      <c r="B155"/>
      <c r="C155"/>
      <c r="D155"/>
      <c r="E155"/>
      <c r="F155" s="16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 s="16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 s="12"/>
      <c r="AK155" s="12"/>
      <c r="AL155" s="17"/>
      <c r="AN155" s="17"/>
      <c r="AP155" s="17"/>
      <c r="AQ155" s="12"/>
      <c r="AR155" s="12"/>
      <c r="AT155" s="17"/>
      <c r="AU155" s="12"/>
      <c r="AV155" s="12"/>
      <c r="AW155" s="17"/>
      <c r="AX155" s="12"/>
      <c r="AY155" s="12"/>
      <c r="BA155" s="12"/>
      <c r="BB155" s="12"/>
      <c r="BC155" s="17"/>
      <c r="BD155" s="12"/>
      <c r="BE155" s="12"/>
      <c r="BG155" s="12"/>
      <c r="BH155" s="12"/>
      <c r="BJ155" s="12"/>
      <c r="BK155" s="12"/>
      <c r="BM155" s="12"/>
      <c r="BN155" s="12"/>
      <c r="BO155" s="17"/>
      <c r="BQ155" s="12"/>
      <c r="BR155" s="12"/>
      <c r="BU155" s="12"/>
      <c r="BV155" s="12"/>
      <c r="BY155" s="12"/>
      <c r="BZ155" s="12"/>
      <c r="CC155" s="12"/>
      <c r="CD155" s="12"/>
      <c r="CE155"/>
      <c r="CG155" s="12"/>
      <c r="CH155" s="12"/>
      <c r="CI155" s="17"/>
      <c r="CJ155" s="12"/>
      <c r="CK155" s="12"/>
      <c r="CN155" s="12"/>
      <c r="CO155" s="12"/>
      <c r="CT155"/>
      <c r="CV155" s="12"/>
      <c r="CW155" s="12"/>
      <c r="CZ155" s="12"/>
      <c r="DA155" s="12"/>
      <c r="DC155" s="12"/>
      <c r="DD155" s="12"/>
      <c r="DE155" s="17"/>
      <c r="DF155" s="17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X155" s="9"/>
      <c r="EY155" s="9"/>
      <c r="EZ155" s="9"/>
      <c r="FA155" s="15"/>
      <c r="FB155" s="14"/>
      <c r="FC155" s="10"/>
      <c r="FD155" s="10"/>
      <c r="FE155" s="10"/>
      <c r="FF155" s="10"/>
      <c r="FG155" s="10"/>
      <c r="FH155" s="10"/>
    </row>
    <row r="156" spans="2:164" x14ac:dyDescent="0.25">
      <c r="B156"/>
      <c r="C156"/>
      <c r="D156"/>
      <c r="E156"/>
      <c r="F156" s="1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 s="1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 s="12"/>
      <c r="AK156" s="12"/>
      <c r="AL156" s="17"/>
      <c r="AN156" s="17"/>
      <c r="AP156" s="17"/>
      <c r="AQ156" s="12"/>
      <c r="AR156" s="12"/>
      <c r="AT156" s="17"/>
      <c r="AU156" s="12"/>
      <c r="AV156" s="12"/>
      <c r="AW156" s="17"/>
      <c r="AX156" s="12"/>
      <c r="AY156" s="12"/>
      <c r="BA156" s="12"/>
      <c r="BB156" s="12"/>
      <c r="BC156" s="17"/>
      <c r="BD156" s="12"/>
      <c r="BE156" s="12"/>
      <c r="BG156" s="12"/>
      <c r="BH156" s="12"/>
      <c r="BJ156" s="12"/>
      <c r="BK156" s="12"/>
      <c r="BM156" s="12"/>
      <c r="BN156" s="12"/>
      <c r="BO156" s="17"/>
      <c r="BQ156" s="12"/>
      <c r="BR156" s="12"/>
      <c r="BU156" s="12"/>
      <c r="BV156" s="12"/>
      <c r="BW156" s="17"/>
      <c r="BX156" s="17"/>
      <c r="BY156" s="12"/>
      <c r="BZ156" s="12"/>
      <c r="CC156" s="12"/>
      <c r="CD156" s="12"/>
      <c r="CE156"/>
      <c r="CG156" s="12"/>
      <c r="CH156" s="12"/>
      <c r="CJ156" s="12"/>
      <c r="CK156" s="12"/>
      <c r="CL156" s="17"/>
      <c r="CM156" s="17"/>
      <c r="CN156" s="12"/>
      <c r="CO156" s="12"/>
      <c r="CT156"/>
      <c r="CV156" s="12"/>
      <c r="CW156" s="12"/>
      <c r="CZ156" s="12"/>
      <c r="DA156" s="12"/>
      <c r="DC156" s="12"/>
      <c r="DD156" s="12"/>
      <c r="DF156" s="17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X156" s="9"/>
      <c r="EY156" s="9"/>
      <c r="EZ156" s="9"/>
      <c r="FA156" s="15"/>
      <c r="FB156" s="14"/>
      <c r="FC156" s="10"/>
      <c r="FD156" s="10"/>
      <c r="FE156" s="10"/>
      <c r="FF156" s="10"/>
      <c r="FG156" s="10"/>
      <c r="FH156" s="10"/>
    </row>
    <row r="157" spans="2:164" x14ac:dyDescent="0.25">
      <c r="B157"/>
      <c r="C157"/>
      <c r="D157"/>
      <c r="E157"/>
      <c r="F157" s="16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 s="16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 s="12"/>
      <c r="AK157" s="12"/>
      <c r="AL157" s="17"/>
      <c r="AN157" s="17"/>
      <c r="AP157" s="17"/>
      <c r="AQ157" s="12"/>
      <c r="AR157" s="12"/>
      <c r="AT157" s="17"/>
      <c r="AU157" s="12"/>
      <c r="AV157" s="12"/>
      <c r="AW157" s="17"/>
      <c r="AX157" s="12"/>
      <c r="AY157" s="12"/>
      <c r="BA157" s="12"/>
      <c r="BB157" s="12"/>
      <c r="BC157" s="17"/>
      <c r="BD157" s="12"/>
      <c r="BE157" s="12"/>
      <c r="BG157" s="12"/>
      <c r="BH157" s="12"/>
      <c r="BJ157" s="12"/>
      <c r="BK157" s="12"/>
      <c r="BM157" s="12"/>
      <c r="BN157" s="12"/>
      <c r="BO157" s="17"/>
      <c r="BQ157" s="12"/>
      <c r="BR157" s="12"/>
      <c r="BU157" s="12"/>
      <c r="BV157" s="12"/>
      <c r="BY157" s="12"/>
      <c r="BZ157" s="12"/>
      <c r="CA157" s="17"/>
      <c r="CB157" s="17"/>
      <c r="CC157" s="12"/>
      <c r="CD157" s="12"/>
      <c r="CE157"/>
      <c r="CG157" s="12"/>
      <c r="CH157" s="12"/>
      <c r="CJ157" s="12"/>
      <c r="CK157" s="12"/>
      <c r="CN157" s="12"/>
      <c r="CO157" s="12"/>
      <c r="CT157"/>
      <c r="CV157" s="12"/>
      <c r="CW157" s="12"/>
      <c r="CZ157" s="12"/>
      <c r="DA157" s="12"/>
      <c r="DC157" s="12"/>
      <c r="DD157" s="12"/>
      <c r="DF157" s="1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X157" s="9"/>
      <c r="EY157" s="9"/>
      <c r="EZ157" s="9"/>
      <c r="FA157" s="15"/>
      <c r="FB157" s="14"/>
      <c r="FC157" s="10"/>
      <c r="FD157" s="10"/>
      <c r="FE157" s="10"/>
      <c r="FF157" s="10"/>
      <c r="FG157" s="10"/>
      <c r="FH157" s="10"/>
    </row>
    <row r="158" spans="2:164" x14ac:dyDescent="0.25">
      <c r="B158"/>
      <c r="C158"/>
      <c r="D158"/>
      <c r="E158"/>
      <c r="F158" s="16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 s="16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 s="12"/>
      <c r="AK158" s="12"/>
      <c r="AL158" s="17"/>
      <c r="AN158" s="17"/>
      <c r="AP158" s="17"/>
      <c r="AQ158" s="12"/>
      <c r="AR158" s="12"/>
      <c r="AT158" s="17"/>
      <c r="AU158" s="12"/>
      <c r="AV158" s="12"/>
      <c r="AW158" s="17"/>
      <c r="AX158" s="12"/>
      <c r="AY158" s="12"/>
      <c r="BA158" s="12"/>
      <c r="BB158" s="12"/>
      <c r="BC158" s="17"/>
      <c r="BD158" s="12"/>
      <c r="BE158" s="12"/>
      <c r="BG158" s="12"/>
      <c r="BH158" s="12"/>
      <c r="BJ158" s="12"/>
      <c r="BK158" s="12"/>
      <c r="BM158" s="12"/>
      <c r="BN158" s="12"/>
      <c r="BO158" s="17"/>
      <c r="BQ158" s="12"/>
      <c r="BR158" s="12"/>
      <c r="BU158" s="12"/>
      <c r="BV158" s="12"/>
      <c r="BY158" s="12"/>
      <c r="BZ158" s="12"/>
      <c r="CA158" s="17"/>
      <c r="CB158" s="17"/>
      <c r="CC158" s="12"/>
      <c r="CD158" s="12"/>
      <c r="CE158"/>
      <c r="CG158" s="12"/>
      <c r="CH158" s="12"/>
      <c r="CJ158" s="12"/>
      <c r="CK158" s="12"/>
      <c r="CN158" s="12"/>
      <c r="CO158" s="12"/>
      <c r="CT158"/>
      <c r="CV158" s="12"/>
      <c r="CW158" s="12"/>
      <c r="CZ158" s="12"/>
      <c r="DA158" s="12"/>
      <c r="DC158" s="12"/>
      <c r="DD158" s="12"/>
      <c r="DE158" s="17"/>
      <c r="DF158" s="17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X158" s="9"/>
      <c r="EY158" s="9"/>
      <c r="EZ158" s="9"/>
      <c r="FA158" s="15"/>
      <c r="FB158" s="14"/>
      <c r="FC158" s="10"/>
      <c r="FD158" s="10"/>
      <c r="FE158" s="10"/>
      <c r="FF158" s="10"/>
      <c r="FG158" s="10"/>
      <c r="FH158" s="10"/>
    </row>
    <row r="159" spans="2:164" x14ac:dyDescent="0.25">
      <c r="B159"/>
      <c r="C159"/>
      <c r="D159"/>
      <c r="E159"/>
      <c r="F159" s="16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 s="16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 s="12"/>
      <c r="AK159" s="12"/>
      <c r="AL159" s="17"/>
      <c r="AN159" s="17"/>
      <c r="AP159" s="17"/>
      <c r="AQ159" s="12"/>
      <c r="AR159" s="12"/>
      <c r="AT159" s="17"/>
      <c r="AU159" s="12"/>
      <c r="AV159" s="12"/>
      <c r="AW159" s="17"/>
      <c r="AX159" s="12"/>
      <c r="AY159" s="12"/>
      <c r="BA159" s="12"/>
      <c r="BB159" s="12"/>
      <c r="BC159" s="17"/>
      <c r="BD159" s="12"/>
      <c r="BE159" s="12"/>
      <c r="BG159" s="12"/>
      <c r="BH159" s="12"/>
      <c r="BJ159" s="12"/>
      <c r="BK159" s="12"/>
      <c r="BM159" s="12"/>
      <c r="BN159" s="12"/>
      <c r="BO159" s="17"/>
      <c r="BQ159" s="12"/>
      <c r="BR159" s="12"/>
      <c r="BS159" s="17"/>
      <c r="BT159" s="17"/>
      <c r="BU159" s="12"/>
      <c r="BV159" s="12"/>
      <c r="BY159" s="12"/>
      <c r="BZ159" s="12"/>
      <c r="CC159" s="12"/>
      <c r="CD159" s="12"/>
      <c r="CE159"/>
      <c r="CG159" s="12"/>
      <c r="CH159" s="12"/>
      <c r="CI159" s="17"/>
      <c r="CJ159" s="12"/>
      <c r="CK159" s="12"/>
      <c r="CN159" s="12"/>
      <c r="CO159" s="12"/>
      <c r="CT159"/>
      <c r="CV159" s="12"/>
      <c r="CW159" s="12"/>
      <c r="CZ159" s="12"/>
      <c r="DA159" s="12"/>
      <c r="DC159" s="12"/>
      <c r="DD159" s="12"/>
      <c r="DE159" s="17"/>
      <c r="DF159" s="17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X159" s="9"/>
      <c r="EY159" s="9"/>
      <c r="EZ159" s="9"/>
      <c r="FA159" s="15"/>
      <c r="FB159" s="14"/>
      <c r="FC159" s="10"/>
      <c r="FD159" s="10"/>
      <c r="FE159" s="10"/>
      <c r="FF159" s="10"/>
      <c r="FG159" s="10"/>
      <c r="FH159" s="10"/>
    </row>
    <row r="160" spans="2:164" x14ac:dyDescent="0.25">
      <c r="B160"/>
      <c r="C160"/>
      <c r="D160"/>
      <c r="E160"/>
      <c r="F160" s="16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 s="16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 s="12"/>
      <c r="AK160" s="12"/>
      <c r="AL160" s="17"/>
      <c r="AN160" s="17"/>
      <c r="AP160" s="17"/>
      <c r="AQ160" s="12"/>
      <c r="AR160" s="12"/>
      <c r="AT160" s="17"/>
      <c r="AU160" s="12"/>
      <c r="AV160" s="12"/>
      <c r="AW160" s="17"/>
      <c r="AX160" s="12"/>
      <c r="AY160" s="12"/>
      <c r="AZ160" s="17"/>
      <c r="BA160" s="12"/>
      <c r="BB160" s="12"/>
      <c r="BD160" s="12"/>
      <c r="BE160" s="12"/>
      <c r="BG160" s="12"/>
      <c r="BH160" s="12"/>
      <c r="BJ160" s="12"/>
      <c r="BK160" s="12"/>
      <c r="BM160" s="12"/>
      <c r="BN160" s="12"/>
      <c r="BO160" s="17"/>
      <c r="BQ160" s="12"/>
      <c r="BR160" s="12"/>
      <c r="BU160" s="12"/>
      <c r="BV160" s="12"/>
      <c r="BW160" s="17"/>
      <c r="BX160" s="17"/>
      <c r="BY160" s="12"/>
      <c r="BZ160" s="12"/>
      <c r="CC160" s="12"/>
      <c r="CD160" s="12"/>
      <c r="CE160"/>
      <c r="CG160" s="12"/>
      <c r="CH160" s="12"/>
      <c r="CJ160" s="12"/>
      <c r="CK160" s="12"/>
      <c r="CL160" s="17"/>
      <c r="CM160" s="17"/>
      <c r="CN160" s="12"/>
      <c r="CO160" s="12"/>
      <c r="CT160"/>
      <c r="CV160" s="12"/>
      <c r="CW160" s="12"/>
      <c r="CZ160" s="12"/>
      <c r="DA160" s="12"/>
      <c r="DC160" s="12"/>
      <c r="DD160" s="12"/>
      <c r="DE160" s="17"/>
      <c r="DF160" s="17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X160" s="9"/>
      <c r="EY160" s="9"/>
      <c r="EZ160" s="9"/>
      <c r="FA160" s="15"/>
      <c r="FB160" s="14"/>
      <c r="FC160" s="10"/>
      <c r="FD160" s="10"/>
      <c r="FE160" s="10"/>
      <c r="FF160" s="10"/>
      <c r="FG160" s="10"/>
      <c r="FH160" s="10"/>
    </row>
    <row r="161" spans="2:164" x14ac:dyDescent="0.25">
      <c r="B161"/>
      <c r="C161"/>
      <c r="D161"/>
      <c r="E161"/>
      <c r="F161" s="16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 s="16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 s="12"/>
      <c r="AK161" s="12"/>
      <c r="AL161" s="17"/>
      <c r="AN161" s="17"/>
      <c r="AP161" s="17"/>
      <c r="AQ161" s="12"/>
      <c r="AR161" s="12"/>
      <c r="AT161" s="17"/>
      <c r="AU161" s="12"/>
      <c r="AV161" s="12"/>
      <c r="AW161" s="17"/>
      <c r="AX161" s="12"/>
      <c r="AY161" s="12"/>
      <c r="BA161" s="12"/>
      <c r="BB161" s="12"/>
      <c r="BC161" s="17"/>
      <c r="BD161" s="12"/>
      <c r="BE161" s="12"/>
      <c r="BG161" s="12"/>
      <c r="BH161" s="12"/>
      <c r="BJ161" s="12"/>
      <c r="BK161" s="12"/>
      <c r="BM161" s="12"/>
      <c r="BN161" s="12"/>
      <c r="BO161" s="17"/>
      <c r="BQ161" s="12"/>
      <c r="BR161" s="12"/>
      <c r="BS161" s="17"/>
      <c r="BT161" s="17"/>
      <c r="BU161" s="12"/>
      <c r="BV161" s="12"/>
      <c r="BY161" s="12"/>
      <c r="BZ161" s="12"/>
      <c r="CC161" s="12"/>
      <c r="CD161" s="12"/>
      <c r="CE161"/>
      <c r="CG161" s="12"/>
      <c r="CH161" s="12"/>
      <c r="CI161" s="17"/>
      <c r="CJ161" s="12"/>
      <c r="CK161" s="12"/>
      <c r="CN161" s="12"/>
      <c r="CO161" s="12"/>
      <c r="CT161"/>
      <c r="CV161" s="12"/>
      <c r="CW161" s="12"/>
      <c r="CZ161" s="12"/>
      <c r="DA161" s="12"/>
      <c r="DC161" s="12"/>
      <c r="DD161" s="12"/>
      <c r="DF161" s="17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X161" s="9"/>
      <c r="EY161" s="9"/>
      <c r="EZ161" s="9"/>
      <c r="FA161" s="15"/>
      <c r="FB161" s="14"/>
      <c r="FC161" s="10"/>
      <c r="FD161" s="10"/>
      <c r="FE161" s="10"/>
      <c r="FF161" s="10"/>
      <c r="FG161" s="10"/>
      <c r="FH161" s="10"/>
    </row>
    <row r="162" spans="2:164" x14ac:dyDescent="0.25">
      <c r="B162"/>
      <c r="C162"/>
      <c r="D162"/>
      <c r="E162"/>
      <c r="F162" s="16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 s="16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 s="12"/>
      <c r="AK162" s="12"/>
      <c r="AL162" s="17"/>
      <c r="AN162" s="17"/>
      <c r="AP162" s="17"/>
      <c r="AQ162" s="12"/>
      <c r="AR162" s="12"/>
      <c r="AT162" s="17"/>
      <c r="AU162" s="12"/>
      <c r="AV162" s="12"/>
      <c r="AW162" s="17"/>
      <c r="AX162" s="12"/>
      <c r="AY162" s="12"/>
      <c r="BA162" s="12"/>
      <c r="BB162" s="12"/>
      <c r="BC162" s="17"/>
      <c r="BD162" s="12"/>
      <c r="BE162" s="12"/>
      <c r="BG162" s="12"/>
      <c r="BH162" s="12"/>
      <c r="BJ162" s="12"/>
      <c r="BK162" s="12"/>
      <c r="BM162" s="12"/>
      <c r="BN162" s="12"/>
      <c r="BO162" s="17"/>
      <c r="BQ162" s="12"/>
      <c r="BR162" s="12"/>
      <c r="BS162" s="17"/>
      <c r="BT162" s="17"/>
      <c r="BU162" s="12"/>
      <c r="BV162" s="12"/>
      <c r="BY162" s="12"/>
      <c r="BZ162" s="12"/>
      <c r="CC162" s="12"/>
      <c r="CD162" s="12"/>
      <c r="CE162"/>
      <c r="CG162" s="12"/>
      <c r="CH162" s="12"/>
      <c r="CI162" s="17"/>
      <c r="CJ162" s="12"/>
      <c r="CK162" s="12"/>
      <c r="CN162" s="12"/>
      <c r="CO162" s="12"/>
      <c r="CT162"/>
      <c r="CV162" s="12"/>
      <c r="CW162" s="12"/>
      <c r="CZ162" s="12"/>
      <c r="DA162" s="12"/>
      <c r="DC162" s="12"/>
      <c r="DD162" s="12"/>
      <c r="DE162" s="17"/>
      <c r="DF162" s="17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X162" s="9"/>
      <c r="EY162" s="9"/>
      <c r="EZ162" s="9"/>
      <c r="FA162" s="15"/>
      <c r="FB162" s="14"/>
      <c r="FC162" s="10"/>
      <c r="FD162" s="10"/>
      <c r="FE162" s="10"/>
      <c r="FF162" s="10"/>
      <c r="FG162" s="10"/>
      <c r="FH162" s="10"/>
    </row>
    <row r="163" spans="2:164" x14ac:dyDescent="0.25">
      <c r="B163"/>
      <c r="C163"/>
      <c r="D163"/>
      <c r="E163"/>
      <c r="F163" s="16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 s="16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 s="12"/>
      <c r="AK163" s="12"/>
      <c r="AL163" s="17"/>
      <c r="AN163" s="17"/>
      <c r="AP163" s="17"/>
      <c r="AQ163" s="12"/>
      <c r="AR163" s="12"/>
      <c r="AT163" s="17"/>
      <c r="AU163" s="12"/>
      <c r="AV163" s="12"/>
      <c r="AW163" s="17"/>
      <c r="AX163" s="12"/>
      <c r="AY163" s="12"/>
      <c r="BA163" s="12"/>
      <c r="BB163" s="12"/>
      <c r="BC163" s="17"/>
      <c r="BD163" s="12"/>
      <c r="BE163" s="12"/>
      <c r="BG163" s="12"/>
      <c r="BH163" s="12"/>
      <c r="BJ163" s="12"/>
      <c r="BK163" s="12"/>
      <c r="BM163" s="12"/>
      <c r="BN163" s="12"/>
      <c r="BO163" s="17"/>
      <c r="BQ163" s="12"/>
      <c r="BR163" s="12"/>
      <c r="BU163" s="12"/>
      <c r="BV163" s="12"/>
      <c r="BY163" s="12"/>
      <c r="BZ163" s="12"/>
      <c r="CC163" s="12"/>
      <c r="CD163" s="12"/>
      <c r="CE163"/>
      <c r="CG163" s="12"/>
      <c r="CH163" s="12"/>
      <c r="CJ163" s="12"/>
      <c r="CK163" s="12"/>
      <c r="CN163" s="12"/>
      <c r="CO163" s="12"/>
      <c r="CT163"/>
      <c r="CV163" s="12"/>
      <c r="CW163" s="12"/>
      <c r="CZ163" s="12"/>
      <c r="DA163" s="12"/>
      <c r="DC163" s="12"/>
      <c r="DD163" s="12"/>
      <c r="DE163" s="17"/>
      <c r="DF163" s="17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X163" s="9"/>
      <c r="EY163" s="9"/>
      <c r="EZ163" s="9"/>
      <c r="FA163" s="15"/>
      <c r="FB163" s="14"/>
      <c r="FC163" s="10"/>
      <c r="FD163" s="10"/>
      <c r="FE163" s="10"/>
      <c r="FF163" s="10"/>
      <c r="FG163" s="10"/>
      <c r="FH163" s="10"/>
    </row>
    <row r="164" spans="2:164" x14ac:dyDescent="0.25">
      <c r="B164"/>
      <c r="C164"/>
      <c r="D164"/>
      <c r="E164"/>
      <c r="F164" s="16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 s="16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 s="12"/>
      <c r="AK164" s="12"/>
      <c r="AL164" s="17"/>
      <c r="AN164" s="17"/>
      <c r="AP164" s="17"/>
      <c r="AQ164" s="12"/>
      <c r="AR164" s="12"/>
      <c r="AT164" s="17"/>
      <c r="AU164" s="12"/>
      <c r="AV164" s="12"/>
      <c r="AW164" s="17"/>
      <c r="AX164" s="12"/>
      <c r="AY164" s="12"/>
      <c r="AZ164" s="17"/>
      <c r="BA164" s="12"/>
      <c r="BB164" s="12"/>
      <c r="BD164" s="12"/>
      <c r="BE164" s="12"/>
      <c r="BG164" s="12"/>
      <c r="BH164" s="12"/>
      <c r="BJ164" s="12"/>
      <c r="BK164" s="12"/>
      <c r="BM164" s="12"/>
      <c r="BN164" s="12"/>
      <c r="BO164" s="17"/>
      <c r="BQ164" s="12"/>
      <c r="BR164" s="12"/>
      <c r="BU164" s="12"/>
      <c r="BV164" s="12"/>
      <c r="BW164" s="17"/>
      <c r="BX164" s="17"/>
      <c r="BY164" s="12"/>
      <c r="BZ164" s="12"/>
      <c r="CC164" s="12"/>
      <c r="CD164" s="12"/>
      <c r="CE164"/>
      <c r="CG164" s="12"/>
      <c r="CH164" s="12"/>
      <c r="CJ164" s="12"/>
      <c r="CK164" s="12"/>
      <c r="CL164" s="17"/>
      <c r="CM164" s="17"/>
      <c r="CN164" s="12"/>
      <c r="CO164" s="12"/>
      <c r="CT164"/>
      <c r="CV164" s="12"/>
      <c r="CW164" s="12"/>
      <c r="CZ164" s="12"/>
      <c r="DA164" s="12"/>
      <c r="DC164" s="12"/>
      <c r="DD164" s="12"/>
      <c r="DE164" s="17"/>
      <c r="DF164" s="17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X164" s="9"/>
      <c r="EY164" s="9"/>
      <c r="EZ164" s="9"/>
      <c r="FA164" s="15"/>
      <c r="FB164" s="14"/>
      <c r="FC164" s="10"/>
      <c r="FD164" s="10"/>
      <c r="FE164" s="10"/>
      <c r="FF164" s="10"/>
      <c r="FG164" s="10"/>
      <c r="FH164" s="10"/>
    </row>
    <row r="165" spans="2:164" x14ac:dyDescent="0.25">
      <c r="B165"/>
      <c r="C165"/>
      <c r="D165"/>
      <c r="E165"/>
      <c r="F165" s="16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 s="16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 s="12"/>
      <c r="AK165" s="12"/>
      <c r="AL165" s="17"/>
      <c r="AN165" s="17"/>
      <c r="AP165" s="17"/>
      <c r="AQ165" s="12"/>
      <c r="AR165" s="12"/>
      <c r="AT165" s="17"/>
      <c r="AU165" s="12"/>
      <c r="AV165" s="12"/>
      <c r="AW165" s="17"/>
      <c r="AX165" s="12"/>
      <c r="AY165" s="12"/>
      <c r="BA165" s="12"/>
      <c r="BB165" s="12"/>
      <c r="BC165" s="17"/>
      <c r="BD165" s="12"/>
      <c r="BE165" s="12"/>
      <c r="BG165" s="12"/>
      <c r="BH165" s="12"/>
      <c r="BJ165" s="12"/>
      <c r="BK165" s="12"/>
      <c r="BM165" s="12"/>
      <c r="BN165" s="12"/>
      <c r="BO165" s="17"/>
      <c r="BQ165" s="12"/>
      <c r="BR165" s="12"/>
      <c r="BU165" s="12"/>
      <c r="BV165" s="12"/>
      <c r="BY165" s="12"/>
      <c r="BZ165" s="12"/>
      <c r="CC165" s="12"/>
      <c r="CD165" s="12"/>
      <c r="CE165"/>
      <c r="CG165" s="12"/>
      <c r="CH165" s="12"/>
      <c r="CJ165" s="12"/>
      <c r="CK165" s="12"/>
      <c r="CN165" s="12"/>
      <c r="CO165" s="12"/>
      <c r="CT165"/>
      <c r="CV165" s="12"/>
      <c r="CW165" s="12"/>
      <c r="CZ165" s="12"/>
      <c r="DA165" s="12"/>
      <c r="DC165" s="12"/>
      <c r="DD165" s="12"/>
      <c r="DF165" s="17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X165" s="9"/>
      <c r="EY165" s="9"/>
      <c r="EZ165" s="9"/>
      <c r="FA165" s="15"/>
      <c r="FB165" s="14"/>
      <c r="FC165" s="10"/>
      <c r="FD165" s="10"/>
      <c r="FE165" s="10"/>
      <c r="FF165" s="10"/>
      <c r="FG165" s="10"/>
      <c r="FH165" s="10"/>
    </row>
    <row r="166" spans="2:164" x14ac:dyDescent="0.25">
      <c r="B166"/>
      <c r="C166"/>
      <c r="D166"/>
      <c r="E166"/>
      <c r="F166" s="1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 s="1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 s="12"/>
      <c r="AK166" s="12"/>
      <c r="AL166" s="17"/>
      <c r="AN166" s="17"/>
      <c r="AP166" s="17"/>
      <c r="AQ166" s="12"/>
      <c r="AR166" s="12"/>
      <c r="AT166" s="17"/>
      <c r="AU166" s="12"/>
      <c r="AV166" s="12"/>
      <c r="AW166" s="17"/>
      <c r="AX166" s="12"/>
      <c r="AY166" s="12"/>
      <c r="BA166" s="12"/>
      <c r="BB166" s="12"/>
      <c r="BC166" s="17"/>
      <c r="BD166" s="12"/>
      <c r="BE166" s="12"/>
      <c r="BG166" s="12"/>
      <c r="BH166" s="12"/>
      <c r="BJ166" s="12"/>
      <c r="BK166" s="12"/>
      <c r="BM166" s="12"/>
      <c r="BN166" s="12"/>
      <c r="BO166" s="17"/>
      <c r="BQ166" s="12"/>
      <c r="BR166" s="12"/>
      <c r="BS166" s="17"/>
      <c r="BT166" s="17"/>
      <c r="BU166" s="12"/>
      <c r="BV166" s="12"/>
      <c r="BY166" s="12"/>
      <c r="BZ166" s="12"/>
      <c r="CC166" s="12"/>
      <c r="CD166" s="12"/>
      <c r="CE166"/>
      <c r="CG166" s="12"/>
      <c r="CH166" s="12"/>
      <c r="CI166" s="17"/>
      <c r="CJ166" s="12"/>
      <c r="CK166" s="12"/>
      <c r="CN166" s="12"/>
      <c r="CO166" s="12"/>
      <c r="CT166"/>
      <c r="CV166" s="12"/>
      <c r="CW166" s="12"/>
      <c r="CZ166" s="12"/>
      <c r="DA166" s="12"/>
      <c r="DC166" s="12"/>
      <c r="DD166" s="12"/>
      <c r="DE166" s="17"/>
      <c r="DF166" s="17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X166" s="9"/>
      <c r="EY166" s="9"/>
      <c r="EZ166" s="9"/>
      <c r="FA166" s="15"/>
      <c r="FB166" s="14"/>
      <c r="FC166" s="10"/>
      <c r="FD166" s="10"/>
      <c r="FE166" s="10"/>
      <c r="FF166" s="10"/>
      <c r="FG166" s="10"/>
      <c r="FH166" s="10"/>
    </row>
    <row r="167" spans="2:164" x14ac:dyDescent="0.25">
      <c r="B167"/>
      <c r="C167"/>
      <c r="D167"/>
      <c r="E167"/>
      <c r="F167" s="16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 s="16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 s="12"/>
      <c r="AK167" s="12"/>
      <c r="AL167" s="17"/>
      <c r="AN167" s="17"/>
      <c r="AP167" s="17"/>
      <c r="AQ167" s="12"/>
      <c r="AR167" s="12"/>
      <c r="AT167" s="17"/>
      <c r="AU167" s="12"/>
      <c r="AV167" s="12"/>
      <c r="AW167" s="17"/>
      <c r="AX167" s="12"/>
      <c r="AY167" s="12"/>
      <c r="BA167" s="12"/>
      <c r="BB167" s="12"/>
      <c r="BC167" s="17"/>
      <c r="BD167" s="12"/>
      <c r="BE167" s="12"/>
      <c r="BG167" s="12"/>
      <c r="BH167" s="12"/>
      <c r="BJ167" s="12"/>
      <c r="BK167" s="12"/>
      <c r="BM167" s="12"/>
      <c r="BN167" s="12"/>
      <c r="BO167" s="17"/>
      <c r="BQ167" s="12"/>
      <c r="BR167" s="12"/>
      <c r="BU167" s="12"/>
      <c r="BV167" s="12"/>
      <c r="BY167" s="12"/>
      <c r="BZ167" s="12"/>
      <c r="CC167" s="12"/>
      <c r="CD167" s="12"/>
      <c r="CE167"/>
      <c r="CG167" s="12"/>
      <c r="CH167" s="12"/>
      <c r="CI167" s="17"/>
      <c r="CJ167" s="12"/>
      <c r="CK167" s="12"/>
      <c r="CN167" s="12"/>
      <c r="CO167" s="12"/>
      <c r="CT167"/>
      <c r="CV167" s="12"/>
      <c r="CW167" s="12"/>
      <c r="CZ167" s="12"/>
      <c r="DA167" s="12"/>
      <c r="DC167" s="12"/>
      <c r="DD167" s="12"/>
      <c r="DE167" s="17"/>
      <c r="DF167" s="1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X167" s="9"/>
      <c r="EY167" s="9"/>
      <c r="EZ167" s="9"/>
      <c r="FA167" s="15"/>
      <c r="FB167" s="14"/>
      <c r="FC167" s="10"/>
      <c r="FD167" s="10"/>
      <c r="FE167" s="10"/>
      <c r="FF167" s="10"/>
      <c r="FG167" s="10"/>
      <c r="FH167" s="10"/>
    </row>
    <row r="168" spans="2:164" x14ac:dyDescent="0.25">
      <c r="B168"/>
      <c r="C168"/>
      <c r="D168"/>
      <c r="E168"/>
      <c r="F168" s="16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 s="16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 s="12"/>
      <c r="AK168" s="12"/>
      <c r="AL168" s="17"/>
      <c r="AN168" s="17"/>
      <c r="AP168" s="17"/>
      <c r="AQ168" s="12"/>
      <c r="AR168" s="12"/>
      <c r="AT168" s="17"/>
      <c r="AU168" s="12"/>
      <c r="AV168" s="12"/>
      <c r="AW168" s="17"/>
      <c r="AX168" s="12"/>
      <c r="AY168" s="12"/>
      <c r="BA168" s="12"/>
      <c r="BB168" s="12"/>
      <c r="BC168" s="17"/>
      <c r="BD168" s="12"/>
      <c r="BE168" s="12"/>
      <c r="BG168" s="12"/>
      <c r="BH168" s="12"/>
      <c r="BJ168" s="12"/>
      <c r="BK168" s="12"/>
      <c r="BM168" s="12"/>
      <c r="BN168" s="12"/>
      <c r="BO168" s="17"/>
      <c r="BQ168" s="12"/>
      <c r="BR168" s="12"/>
      <c r="BU168" s="12"/>
      <c r="BV168" s="12"/>
      <c r="BY168" s="12"/>
      <c r="BZ168" s="12"/>
      <c r="CC168" s="12"/>
      <c r="CD168" s="12"/>
      <c r="CE168"/>
      <c r="CG168" s="12"/>
      <c r="CH168" s="12"/>
      <c r="CJ168" s="12"/>
      <c r="CK168" s="12"/>
      <c r="CN168" s="12"/>
      <c r="CO168" s="12"/>
      <c r="CT168"/>
      <c r="CV168" s="12"/>
      <c r="CW168" s="12"/>
      <c r="CZ168" s="12"/>
      <c r="DA168" s="12"/>
      <c r="DC168" s="12"/>
      <c r="DD168" s="12"/>
      <c r="DE168" s="17"/>
      <c r="DF168" s="17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X168" s="9"/>
      <c r="EY168" s="9"/>
      <c r="EZ168" s="9"/>
      <c r="FA168" s="15"/>
      <c r="FB168" s="14"/>
      <c r="FC168" s="10"/>
      <c r="FD168" s="10"/>
      <c r="FE168" s="10"/>
      <c r="FF168" s="10"/>
      <c r="FG168" s="10"/>
      <c r="FH168" s="10"/>
    </row>
    <row r="169" spans="2:164" x14ac:dyDescent="0.25">
      <c r="B169"/>
      <c r="C169"/>
      <c r="D169"/>
      <c r="E169"/>
      <c r="F169" s="16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 s="16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 s="12"/>
      <c r="AK169" s="12"/>
      <c r="AL169" s="17"/>
      <c r="AN169" s="17"/>
      <c r="AP169" s="17"/>
      <c r="AQ169" s="12"/>
      <c r="AR169" s="12"/>
      <c r="AT169" s="17"/>
      <c r="AU169" s="12"/>
      <c r="AV169" s="12"/>
      <c r="AW169" s="17"/>
      <c r="AX169" s="12"/>
      <c r="AY169" s="12"/>
      <c r="AZ169" s="17"/>
      <c r="BA169" s="12"/>
      <c r="BB169" s="12"/>
      <c r="BD169" s="12"/>
      <c r="BE169" s="12"/>
      <c r="BG169" s="12"/>
      <c r="BH169" s="12"/>
      <c r="BJ169" s="12"/>
      <c r="BK169" s="12"/>
      <c r="BM169" s="12"/>
      <c r="BN169" s="12"/>
      <c r="BO169" s="17"/>
      <c r="BQ169" s="12"/>
      <c r="BR169" s="12"/>
      <c r="BU169" s="12"/>
      <c r="BV169" s="12"/>
      <c r="BY169" s="12"/>
      <c r="BZ169" s="12"/>
      <c r="CA169" s="17"/>
      <c r="CB169" s="17"/>
      <c r="CC169" s="12"/>
      <c r="CD169" s="12"/>
      <c r="CE169"/>
      <c r="CG169" s="12"/>
      <c r="CH169" s="12"/>
      <c r="CJ169" s="12"/>
      <c r="CK169" s="12"/>
      <c r="CN169" s="12"/>
      <c r="CO169" s="12"/>
      <c r="CT169"/>
      <c r="CV169" s="12"/>
      <c r="CW169" s="12"/>
      <c r="CZ169" s="12"/>
      <c r="DA169" s="12"/>
      <c r="DC169" s="12"/>
      <c r="DD169" s="12"/>
      <c r="DF169" s="17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X169" s="9"/>
      <c r="EY169" s="9"/>
      <c r="EZ169" s="9"/>
      <c r="FA169" s="15"/>
      <c r="FB169" s="14"/>
      <c r="FC169" s="10"/>
      <c r="FD169" s="10"/>
      <c r="FE169" s="10"/>
      <c r="FF169" s="10"/>
      <c r="FG169" s="10"/>
      <c r="FH169" s="10"/>
    </row>
    <row r="170" spans="2:164" x14ac:dyDescent="0.25">
      <c r="B170"/>
      <c r="C170"/>
      <c r="D170"/>
      <c r="E170"/>
      <c r="F170" s="16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 s="16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 s="12"/>
      <c r="AK170" s="12"/>
      <c r="AL170" s="17"/>
      <c r="AN170" s="17"/>
      <c r="AP170" s="17"/>
      <c r="AQ170" s="12"/>
      <c r="AR170" s="12"/>
      <c r="AT170" s="17"/>
      <c r="AU170" s="12"/>
      <c r="AV170" s="12"/>
      <c r="AW170" s="17"/>
      <c r="AX170" s="12"/>
      <c r="AY170" s="12"/>
      <c r="BA170" s="12"/>
      <c r="BB170" s="12"/>
      <c r="BC170" s="17"/>
      <c r="BD170" s="12"/>
      <c r="BE170" s="12"/>
      <c r="BG170" s="12"/>
      <c r="BH170" s="12"/>
      <c r="BJ170" s="12"/>
      <c r="BK170" s="12"/>
      <c r="BM170" s="12"/>
      <c r="BN170" s="12"/>
      <c r="BO170" s="17"/>
      <c r="BQ170" s="12"/>
      <c r="BR170" s="12"/>
      <c r="BU170" s="12"/>
      <c r="BV170" s="12"/>
      <c r="BY170" s="12"/>
      <c r="BZ170" s="12"/>
      <c r="CA170" s="17"/>
      <c r="CB170" s="17"/>
      <c r="CC170" s="12"/>
      <c r="CD170" s="12"/>
      <c r="CE170"/>
      <c r="CG170" s="12"/>
      <c r="CH170" s="12"/>
      <c r="CJ170" s="12"/>
      <c r="CK170" s="12"/>
      <c r="CN170" s="12"/>
      <c r="CO170" s="12"/>
      <c r="CT170"/>
      <c r="CV170" s="12"/>
      <c r="CW170" s="12"/>
      <c r="CZ170" s="12"/>
      <c r="DA170" s="12"/>
      <c r="DC170" s="12"/>
      <c r="DD170" s="12"/>
      <c r="DF170" s="17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X170" s="9"/>
      <c r="EY170" s="9"/>
      <c r="EZ170" s="9"/>
      <c r="FA170" s="15"/>
      <c r="FB170" s="14"/>
      <c r="FC170" s="10"/>
      <c r="FD170" s="10"/>
      <c r="FE170" s="10"/>
      <c r="FF170" s="10"/>
      <c r="FG170" s="10"/>
      <c r="FH170" s="10"/>
    </row>
    <row r="171" spans="2:164" x14ac:dyDescent="0.25">
      <c r="B171"/>
      <c r="C171"/>
      <c r="D171"/>
      <c r="E171"/>
      <c r="F171" s="16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 s="16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 s="12"/>
      <c r="AK171" s="12"/>
      <c r="AL171" s="17"/>
      <c r="AN171" s="17"/>
      <c r="AP171" s="17"/>
      <c r="AQ171" s="12"/>
      <c r="AR171" s="12"/>
      <c r="AT171" s="17"/>
      <c r="AU171" s="12"/>
      <c r="AV171" s="12"/>
      <c r="AW171" s="17"/>
      <c r="AX171" s="12"/>
      <c r="AY171" s="12"/>
      <c r="AZ171" s="17"/>
      <c r="BA171" s="12"/>
      <c r="BB171" s="12"/>
      <c r="BD171" s="12"/>
      <c r="BE171" s="12"/>
      <c r="BG171" s="12"/>
      <c r="BH171" s="12"/>
      <c r="BJ171" s="12"/>
      <c r="BK171" s="12"/>
      <c r="BM171" s="12"/>
      <c r="BN171" s="12"/>
      <c r="BO171" s="17"/>
      <c r="BQ171" s="12"/>
      <c r="BR171" s="12"/>
      <c r="BU171" s="12"/>
      <c r="BV171" s="12"/>
      <c r="BW171" s="17"/>
      <c r="BX171" s="17"/>
      <c r="BY171" s="12"/>
      <c r="BZ171" s="12"/>
      <c r="CC171" s="12"/>
      <c r="CD171" s="12"/>
      <c r="CE171"/>
      <c r="CG171" s="12"/>
      <c r="CH171" s="12"/>
      <c r="CJ171" s="12"/>
      <c r="CK171" s="12"/>
      <c r="CL171" s="17"/>
      <c r="CM171" s="17"/>
      <c r="CN171" s="12"/>
      <c r="CO171" s="12"/>
      <c r="CT171"/>
      <c r="CV171" s="12"/>
      <c r="CW171" s="12"/>
      <c r="CZ171" s="12"/>
      <c r="DA171" s="12"/>
      <c r="DC171" s="12"/>
      <c r="DD171" s="12"/>
      <c r="DF171" s="17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X171" s="9"/>
      <c r="EY171" s="9"/>
      <c r="EZ171" s="9"/>
      <c r="FA171" s="15"/>
      <c r="FB171" s="14"/>
      <c r="FC171" s="10"/>
      <c r="FD171" s="10"/>
      <c r="FE171" s="10"/>
      <c r="FF171" s="10"/>
      <c r="FG171" s="10"/>
      <c r="FH171" s="10"/>
    </row>
    <row r="172" spans="2:164" x14ac:dyDescent="0.25">
      <c r="B172"/>
      <c r="C172"/>
      <c r="D172"/>
      <c r="E172"/>
      <c r="F172" s="16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 s="16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 s="12"/>
      <c r="AK172" s="12"/>
      <c r="AL172" s="17"/>
      <c r="AN172" s="17"/>
      <c r="AP172" s="17"/>
      <c r="AQ172" s="12"/>
      <c r="AR172" s="12"/>
      <c r="AT172" s="17"/>
      <c r="AU172" s="12"/>
      <c r="AV172" s="12"/>
      <c r="AW172" s="17"/>
      <c r="AX172" s="12"/>
      <c r="AY172" s="12"/>
      <c r="BA172" s="12"/>
      <c r="BB172" s="12"/>
      <c r="BC172" s="17"/>
      <c r="BD172" s="12"/>
      <c r="BE172" s="12"/>
      <c r="BG172" s="12"/>
      <c r="BH172" s="12"/>
      <c r="BJ172" s="12"/>
      <c r="BK172" s="12"/>
      <c r="BM172" s="12"/>
      <c r="BN172" s="12"/>
      <c r="BO172" s="17"/>
      <c r="BQ172" s="12"/>
      <c r="BR172" s="12"/>
      <c r="BS172" s="17"/>
      <c r="BT172" s="17"/>
      <c r="BU172" s="12"/>
      <c r="BV172" s="12"/>
      <c r="BY172" s="12"/>
      <c r="BZ172" s="12"/>
      <c r="CC172" s="12"/>
      <c r="CD172" s="12"/>
      <c r="CE172"/>
      <c r="CG172" s="12"/>
      <c r="CH172" s="12"/>
      <c r="CI172" s="17"/>
      <c r="CJ172" s="12"/>
      <c r="CK172" s="12"/>
      <c r="CN172" s="12"/>
      <c r="CO172" s="12"/>
      <c r="CT172"/>
      <c r="CV172" s="12"/>
      <c r="CW172" s="12"/>
      <c r="CZ172" s="12"/>
      <c r="DA172" s="12"/>
      <c r="DC172" s="12"/>
      <c r="DD172" s="12"/>
      <c r="DF172" s="17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X172" s="9"/>
      <c r="EY172" s="9"/>
      <c r="EZ172" s="9"/>
      <c r="FA172" s="15"/>
      <c r="FB172" s="14"/>
      <c r="FC172" s="10"/>
      <c r="FD172" s="10"/>
      <c r="FE172" s="10"/>
      <c r="FF172" s="10"/>
      <c r="FG172" s="10"/>
      <c r="FH172" s="10"/>
    </row>
    <row r="173" spans="2:164" x14ac:dyDescent="0.25">
      <c r="B173"/>
      <c r="C173"/>
      <c r="D173"/>
      <c r="E173"/>
      <c r="F173" s="16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 s="16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 s="12"/>
      <c r="AK173" s="12"/>
      <c r="AL173" s="17"/>
      <c r="AN173" s="17"/>
      <c r="AP173" s="17"/>
      <c r="AQ173" s="12"/>
      <c r="AR173" s="12"/>
      <c r="AT173" s="17"/>
      <c r="AU173" s="12"/>
      <c r="AV173" s="12"/>
      <c r="AW173" s="17"/>
      <c r="AX173" s="12"/>
      <c r="AY173" s="12"/>
      <c r="BA173" s="12"/>
      <c r="BB173" s="12"/>
      <c r="BC173" s="17"/>
      <c r="BD173" s="12"/>
      <c r="BE173" s="12"/>
      <c r="BG173" s="12"/>
      <c r="BH173" s="12"/>
      <c r="BJ173" s="12"/>
      <c r="BK173" s="12"/>
      <c r="BM173" s="12"/>
      <c r="BN173" s="12"/>
      <c r="BO173" s="17"/>
      <c r="BQ173" s="12"/>
      <c r="BR173" s="12"/>
      <c r="BU173" s="12"/>
      <c r="BV173" s="12"/>
      <c r="BY173" s="12"/>
      <c r="BZ173" s="12"/>
      <c r="CA173" s="17"/>
      <c r="CB173" s="17"/>
      <c r="CC173" s="12"/>
      <c r="CD173" s="12"/>
      <c r="CE173"/>
      <c r="CG173" s="12"/>
      <c r="CH173" s="12"/>
      <c r="CJ173" s="12"/>
      <c r="CK173" s="12"/>
      <c r="CN173" s="12"/>
      <c r="CO173" s="12"/>
      <c r="CT173"/>
      <c r="CV173" s="12"/>
      <c r="CW173" s="12"/>
      <c r="CZ173" s="12"/>
      <c r="DA173" s="12"/>
      <c r="DC173" s="12"/>
      <c r="DD173" s="12"/>
      <c r="DF173" s="17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X173" s="9"/>
      <c r="EY173" s="9"/>
      <c r="EZ173" s="9"/>
      <c r="FA173" s="15"/>
      <c r="FB173" s="14"/>
      <c r="FC173" s="10"/>
      <c r="FD173" s="10"/>
      <c r="FE173" s="10"/>
      <c r="FF173" s="10"/>
      <c r="FG173" s="10"/>
      <c r="FH173" s="10"/>
    </row>
    <row r="174" spans="2:164" x14ac:dyDescent="0.25">
      <c r="B174"/>
      <c r="C174"/>
      <c r="D174"/>
      <c r="E174"/>
      <c r="F174" s="16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 s="16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s="12"/>
      <c r="AK174" s="12"/>
      <c r="AL174" s="17"/>
      <c r="AN174" s="17"/>
      <c r="AP174" s="17"/>
      <c r="AQ174" s="12"/>
      <c r="AR174" s="12"/>
      <c r="AT174" s="17"/>
      <c r="AU174" s="12"/>
      <c r="AV174" s="12"/>
      <c r="AW174" s="17"/>
      <c r="AX174" s="12"/>
      <c r="AY174" s="12"/>
      <c r="AZ174" s="17"/>
      <c r="BA174" s="12"/>
      <c r="BB174" s="12"/>
      <c r="BD174" s="12"/>
      <c r="BE174" s="12"/>
      <c r="BG174" s="12"/>
      <c r="BH174" s="12"/>
      <c r="BJ174" s="12"/>
      <c r="BK174" s="12"/>
      <c r="BM174" s="12"/>
      <c r="BN174" s="12"/>
      <c r="BO174" s="17"/>
      <c r="BQ174" s="12"/>
      <c r="BR174" s="12"/>
      <c r="BU174" s="12"/>
      <c r="BV174" s="12"/>
      <c r="BY174" s="12"/>
      <c r="BZ174" s="12"/>
      <c r="CA174" s="17"/>
      <c r="CB174" s="17"/>
      <c r="CC174" s="12"/>
      <c r="CD174" s="12"/>
      <c r="CE174"/>
      <c r="CG174" s="12"/>
      <c r="CH174" s="12"/>
      <c r="CJ174" s="12"/>
      <c r="CK174" s="12"/>
      <c r="CN174" s="12"/>
      <c r="CO174" s="12"/>
      <c r="CT174"/>
      <c r="CV174" s="12"/>
      <c r="CW174" s="12"/>
      <c r="CZ174" s="12"/>
      <c r="DA174" s="12"/>
      <c r="DC174" s="12"/>
      <c r="DD174" s="12"/>
      <c r="DF174" s="17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X174" s="9"/>
      <c r="EY174" s="9"/>
      <c r="EZ174" s="9"/>
      <c r="FA174" s="15"/>
      <c r="FB174" s="14"/>
      <c r="FC174" s="10"/>
      <c r="FD174" s="10"/>
      <c r="FE174" s="10"/>
      <c r="FF174" s="10"/>
      <c r="FG174" s="10"/>
      <c r="FH174" s="10"/>
    </row>
    <row r="175" spans="2:164" x14ac:dyDescent="0.25">
      <c r="B175"/>
      <c r="C175"/>
      <c r="D175"/>
      <c r="E175"/>
      <c r="F175" s="16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 s="16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 s="12"/>
      <c r="AK175" s="12"/>
      <c r="AL175" s="17"/>
      <c r="AN175" s="17"/>
      <c r="AP175" s="17"/>
      <c r="AQ175" s="12"/>
      <c r="AR175" s="12"/>
      <c r="AT175" s="17"/>
      <c r="AU175" s="12"/>
      <c r="AV175" s="12"/>
      <c r="AW175" s="17"/>
      <c r="AX175" s="12"/>
      <c r="AY175" s="12"/>
      <c r="BA175" s="12"/>
      <c r="BB175" s="12"/>
      <c r="BC175" s="17"/>
      <c r="BD175" s="12"/>
      <c r="BE175" s="12"/>
      <c r="BG175" s="12"/>
      <c r="BH175" s="12"/>
      <c r="BJ175" s="12"/>
      <c r="BK175" s="12"/>
      <c r="BM175" s="12"/>
      <c r="BN175" s="12"/>
      <c r="BO175" s="17"/>
      <c r="BQ175" s="12"/>
      <c r="BR175" s="12"/>
      <c r="BU175" s="12"/>
      <c r="BV175" s="12"/>
      <c r="BY175" s="12"/>
      <c r="BZ175" s="12"/>
      <c r="CA175" s="17"/>
      <c r="CB175" s="17"/>
      <c r="CC175" s="12"/>
      <c r="CD175" s="12"/>
      <c r="CE175"/>
      <c r="CG175" s="12"/>
      <c r="CH175" s="12"/>
      <c r="CJ175" s="12"/>
      <c r="CK175" s="12"/>
      <c r="CN175" s="12"/>
      <c r="CO175" s="12"/>
      <c r="CT175"/>
      <c r="CV175" s="12"/>
      <c r="CW175" s="12"/>
      <c r="CZ175" s="12"/>
      <c r="DA175" s="12"/>
      <c r="DC175" s="12"/>
      <c r="DD175" s="12"/>
      <c r="DF175" s="17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X175" s="9"/>
      <c r="EY175" s="9"/>
      <c r="EZ175" s="9"/>
      <c r="FA175" s="15"/>
      <c r="FB175" s="14"/>
      <c r="FC175" s="10"/>
      <c r="FD175" s="10"/>
      <c r="FE175" s="10"/>
      <c r="FF175" s="10"/>
      <c r="FG175" s="10"/>
      <c r="FH175" s="10"/>
    </row>
    <row r="176" spans="2:164" x14ac:dyDescent="0.25">
      <c r="B176"/>
      <c r="C176"/>
      <c r="D176"/>
      <c r="E176"/>
      <c r="F176" s="1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 s="1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 s="12"/>
      <c r="AK176" s="12"/>
      <c r="AL176" s="17"/>
      <c r="AN176" s="17"/>
      <c r="AP176" s="17"/>
      <c r="AQ176" s="12"/>
      <c r="AR176" s="12"/>
      <c r="AT176" s="17"/>
      <c r="AU176" s="12"/>
      <c r="AV176" s="12"/>
      <c r="AW176" s="17"/>
      <c r="AX176" s="12"/>
      <c r="AY176" s="12"/>
      <c r="BA176" s="12"/>
      <c r="BB176" s="12"/>
      <c r="BC176" s="17"/>
      <c r="BD176" s="12"/>
      <c r="BE176" s="12"/>
      <c r="BG176" s="12"/>
      <c r="BH176" s="12"/>
      <c r="BJ176" s="12"/>
      <c r="BK176" s="12"/>
      <c r="BM176" s="12"/>
      <c r="BN176" s="12"/>
      <c r="BO176" s="17"/>
      <c r="BQ176" s="12"/>
      <c r="BR176" s="12"/>
      <c r="BU176" s="12"/>
      <c r="BV176" s="12"/>
      <c r="BY176" s="12"/>
      <c r="BZ176" s="12"/>
      <c r="CC176" s="12"/>
      <c r="CD176" s="12"/>
      <c r="CE176"/>
      <c r="CG176" s="12"/>
      <c r="CH176" s="12"/>
      <c r="CJ176" s="12"/>
      <c r="CK176" s="12"/>
      <c r="CN176" s="12"/>
      <c r="CO176" s="12"/>
      <c r="CT176"/>
      <c r="CV176" s="12"/>
      <c r="CW176" s="12"/>
      <c r="CZ176" s="12"/>
      <c r="DA176" s="12"/>
      <c r="DC176" s="12"/>
      <c r="DD176" s="12"/>
      <c r="DE176" s="17"/>
      <c r="DF176" s="17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X176" s="9"/>
      <c r="EY176" s="9"/>
      <c r="EZ176" s="9"/>
      <c r="FA176" s="15"/>
      <c r="FB176" s="14"/>
      <c r="FC176" s="10"/>
      <c r="FD176" s="10"/>
      <c r="FE176" s="10"/>
      <c r="FF176" s="10"/>
      <c r="FG176" s="10"/>
      <c r="FH176" s="10"/>
    </row>
    <row r="177" spans="2:164" x14ac:dyDescent="0.25">
      <c r="B177"/>
      <c r="C177"/>
      <c r="D177"/>
      <c r="E177"/>
      <c r="F177" s="16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 s="16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 s="12"/>
      <c r="AK177" s="12"/>
      <c r="AL177" s="17"/>
      <c r="AN177" s="17"/>
      <c r="AP177" s="17"/>
      <c r="AQ177" s="12"/>
      <c r="AR177" s="12"/>
      <c r="AT177" s="17"/>
      <c r="AU177" s="12"/>
      <c r="AV177" s="12"/>
      <c r="AW177" s="17"/>
      <c r="AX177" s="12"/>
      <c r="AY177" s="12"/>
      <c r="BA177" s="12"/>
      <c r="BB177" s="12"/>
      <c r="BC177" s="17"/>
      <c r="BD177" s="12"/>
      <c r="BE177" s="12"/>
      <c r="BG177" s="12"/>
      <c r="BH177" s="12"/>
      <c r="BJ177" s="12"/>
      <c r="BK177" s="12"/>
      <c r="BM177" s="12"/>
      <c r="BN177" s="12"/>
      <c r="BO177" s="17"/>
      <c r="BQ177" s="12"/>
      <c r="BR177" s="12"/>
      <c r="BS177" s="17"/>
      <c r="BT177" s="17"/>
      <c r="BU177" s="12"/>
      <c r="BV177" s="12"/>
      <c r="BY177" s="12"/>
      <c r="BZ177" s="12"/>
      <c r="CC177" s="12"/>
      <c r="CD177" s="12"/>
      <c r="CE177"/>
      <c r="CG177" s="12"/>
      <c r="CH177" s="12"/>
      <c r="CJ177" s="12"/>
      <c r="CK177" s="12"/>
      <c r="CL177" s="17"/>
      <c r="CM177" s="17"/>
      <c r="CN177" s="12"/>
      <c r="CO177" s="12"/>
      <c r="CT177"/>
      <c r="CV177" s="12"/>
      <c r="CW177" s="12"/>
      <c r="CZ177" s="12"/>
      <c r="DA177" s="12"/>
      <c r="DC177" s="12"/>
      <c r="DD177" s="12"/>
      <c r="DF177" s="1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X177" s="9"/>
      <c r="EY177" s="9"/>
      <c r="EZ177" s="9"/>
      <c r="FA177" s="15"/>
      <c r="FB177" s="14"/>
      <c r="FC177" s="10"/>
      <c r="FD177" s="10"/>
      <c r="FE177" s="10"/>
      <c r="FF177" s="10"/>
      <c r="FG177" s="10"/>
      <c r="FH177" s="10"/>
    </row>
    <row r="178" spans="2:164" x14ac:dyDescent="0.25">
      <c r="B178"/>
      <c r="C178"/>
      <c r="D178"/>
      <c r="E178"/>
      <c r="F178" s="16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 s="16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 s="12"/>
      <c r="AK178" s="12"/>
      <c r="AL178" s="17"/>
      <c r="AN178" s="17"/>
      <c r="AP178" s="17"/>
      <c r="AQ178" s="12"/>
      <c r="AR178" s="12"/>
      <c r="AT178" s="17"/>
      <c r="AU178" s="12"/>
      <c r="AV178" s="12"/>
      <c r="AW178" s="17"/>
      <c r="AX178" s="12"/>
      <c r="AY178" s="12"/>
      <c r="BA178" s="12"/>
      <c r="BB178" s="12"/>
      <c r="BC178" s="17"/>
      <c r="BD178" s="12"/>
      <c r="BE178" s="12"/>
      <c r="BG178" s="12"/>
      <c r="BH178" s="12"/>
      <c r="BJ178" s="12"/>
      <c r="BK178" s="12"/>
      <c r="BM178" s="12"/>
      <c r="BN178" s="12"/>
      <c r="BO178" s="17"/>
      <c r="BQ178" s="12"/>
      <c r="BR178" s="12"/>
      <c r="BU178" s="12"/>
      <c r="BV178" s="12"/>
      <c r="BY178" s="12"/>
      <c r="BZ178" s="12"/>
      <c r="CC178" s="12"/>
      <c r="CD178" s="12"/>
      <c r="CE178"/>
      <c r="CG178" s="12"/>
      <c r="CH178" s="12"/>
      <c r="CJ178" s="12"/>
      <c r="CK178" s="12"/>
      <c r="CN178" s="12"/>
      <c r="CO178" s="12"/>
      <c r="CT178"/>
      <c r="CV178" s="12"/>
      <c r="CW178" s="12"/>
      <c r="CZ178" s="12"/>
      <c r="DA178" s="12"/>
      <c r="DC178" s="12"/>
      <c r="DD178" s="12"/>
      <c r="DF178" s="17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X178" s="9"/>
      <c r="EY178" s="9"/>
      <c r="EZ178" s="9"/>
      <c r="FA178" s="15"/>
      <c r="FB178" s="14"/>
      <c r="FC178" s="10"/>
      <c r="FD178" s="10"/>
      <c r="FE178" s="10"/>
      <c r="FF178" s="10"/>
      <c r="FG178" s="10"/>
      <c r="FH178" s="10"/>
    </row>
    <row r="179" spans="2:164" x14ac:dyDescent="0.25">
      <c r="B179"/>
      <c r="C179"/>
      <c r="D179"/>
      <c r="E179"/>
      <c r="F179" s="16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 s="16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 s="12"/>
      <c r="AK179" s="12"/>
      <c r="AL179" s="17"/>
      <c r="AN179" s="17"/>
      <c r="AP179" s="17"/>
      <c r="AQ179" s="12"/>
      <c r="AR179" s="12"/>
      <c r="AT179" s="17"/>
      <c r="AU179" s="12"/>
      <c r="AV179" s="12"/>
      <c r="AW179" s="17"/>
      <c r="AX179" s="12"/>
      <c r="AY179" s="12"/>
      <c r="BA179" s="12"/>
      <c r="BB179" s="12"/>
      <c r="BC179" s="17"/>
      <c r="BD179" s="12"/>
      <c r="BE179" s="12"/>
      <c r="BG179" s="12"/>
      <c r="BH179" s="12"/>
      <c r="BJ179" s="12"/>
      <c r="BK179" s="12"/>
      <c r="BM179" s="12"/>
      <c r="BN179" s="12"/>
      <c r="BO179" s="17"/>
      <c r="BQ179" s="12"/>
      <c r="BR179" s="12"/>
      <c r="BU179" s="12"/>
      <c r="BV179" s="12"/>
      <c r="BY179" s="12"/>
      <c r="BZ179" s="12"/>
      <c r="CA179" s="17"/>
      <c r="CB179" s="17"/>
      <c r="CC179" s="12"/>
      <c r="CD179" s="12"/>
      <c r="CE179"/>
      <c r="CG179" s="12"/>
      <c r="CH179" s="12"/>
      <c r="CJ179" s="12"/>
      <c r="CK179" s="12"/>
      <c r="CN179" s="12"/>
      <c r="CO179" s="12"/>
      <c r="CT179"/>
      <c r="CV179" s="12"/>
      <c r="CW179" s="12"/>
      <c r="CZ179" s="12"/>
      <c r="DA179" s="12"/>
      <c r="DB179" s="17"/>
      <c r="DC179" s="12"/>
      <c r="DD179" s="12"/>
      <c r="DF179" s="17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X179" s="9"/>
      <c r="EY179" s="9"/>
      <c r="EZ179" s="9"/>
      <c r="FA179" s="15"/>
      <c r="FB179" s="14"/>
      <c r="FC179" s="10"/>
      <c r="FD179" s="10"/>
      <c r="FE179" s="10"/>
      <c r="FF179" s="10"/>
      <c r="FG179" s="10"/>
      <c r="FH179" s="10"/>
    </row>
    <row r="180" spans="2:164" x14ac:dyDescent="0.25">
      <c r="B180"/>
      <c r="C180"/>
      <c r="D180"/>
      <c r="E180"/>
      <c r="F180" s="16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 s="16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 s="12"/>
      <c r="AK180" s="12"/>
      <c r="AL180" s="17"/>
      <c r="AN180" s="17"/>
      <c r="AP180" s="17"/>
      <c r="AQ180" s="12"/>
      <c r="AR180" s="12"/>
      <c r="AT180" s="17"/>
      <c r="AU180" s="12"/>
      <c r="AV180" s="12"/>
      <c r="AW180" s="17"/>
      <c r="AX180" s="12"/>
      <c r="AY180" s="12"/>
      <c r="BA180" s="12"/>
      <c r="BB180" s="12"/>
      <c r="BC180" s="17"/>
      <c r="BD180" s="12"/>
      <c r="BE180" s="12"/>
      <c r="BG180" s="12"/>
      <c r="BH180" s="12"/>
      <c r="BJ180" s="12"/>
      <c r="BK180" s="12"/>
      <c r="BM180" s="12"/>
      <c r="BN180" s="12"/>
      <c r="BO180" s="17"/>
      <c r="BQ180" s="12"/>
      <c r="BR180" s="12"/>
      <c r="BS180" s="17"/>
      <c r="BT180" s="17"/>
      <c r="BU180" s="12"/>
      <c r="BV180" s="12"/>
      <c r="BY180" s="12"/>
      <c r="BZ180" s="12"/>
      <c r="CC180" s="12"/>
      <c r="CD180" s="12"/>
      <c r="CE180"/>
      <c r="CG180" s="12"/>
      <c r="CH180" s="12"/>
      <c r="CI180" s="17"/>
      <c r="CJ180" s="12"/>
      <c r="CK180" s="12"/>
      <c r="CN180" s="12"/>
      <c r="CO180" s="12"/>
      <c r="CT180"/>
      <c r="CV180" s="12"/>
      <c r="CW180" s="12"/>
      <c r="CZ180" s="12"/>
      <c r="DA180" s="12"/>
      <c r="DC180" s="12"/>
      <c r="DD180" s="12"/>
      <c r="DF180" s="17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X180" s="9"/>
      <c r="EY180" s="9"/>
      <c r="EZ180" s="9"/>
      <c r="FA180" s="15"/>
      <c r="FB180" s="14"/>
      <c r="FC180" s="10"/>
      <c r="FD180" s="10"/>
      <c r="FE180" s="10"/>
      <c r="FF180" s="10"/>
      <c r="FG180" s="10"/>
      <c r="FH180" s="10"/>
    </row>
    <row r="181" spans="2:164" x14ac:dyDescent="0.25">
      <c r="B181"/>
      <c r="C181"/>
      <c r="D181"/>
      <c r="E181"/>
      <c r="F181" s="16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 s="16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 s="12"/>
      <c r="AK181" s="12"/>
      <c r="AL181" s="17"/>
      <c r="AN181" s="17"/>
      <c r="AP181" s="17"/>
      <c r="AQ181" s="12"/>
      <c r="AR181" s="12"/>
      <c r="AT181" s="17"/>
      <c r="AU181" s="12"/>
      <c r="AV181" s="12"/>
      <c r="AW181" s="17"/>
      <c r="AX181" s="12"/>
      <c r="AY181" s="12"/>
      <c r="BA181" s="12"/>
      <c r="BB181" s="12"/>
      <c r="BC181" s="17"/>
      <c r="BD181" s="12"/>
      <c r="BE181" s="12"/>
      <c r="BG181" s="12"/>
      <c r="BH181" s="12"/>
      <c r="BJ181" s="12"/>
      <c r="BK181" s="12"/>
      <c r="BM181" s="12"/>
      <c r="BN181" s="12"/>
      <c r="BO181" s="17"/>
      <c r="BQ181" s="12"/>
      <c r="BR181" s="12"/>
      <c r="BS181" s="17"/>
      <c r="BT181" s="17"/>
      <c r="BU181" s="12"/>
      <c r="BV181" s="12"/>
      <c r="BY181" s="12"/>
      <c r="BZ181" s="12"/>
      <c r="CC181" s="12"/>
      <c r="CD181" s="12"/>
      <c r="CE181"/>
      <c r="CG181" s="12"/>
      <c r="CH181" s="12"/>
      <c r="CI181" s="17"/>
      <c r="CJ181" s="12"/>
      <c r="CK181" s="12"/>
      <c r="CN181" s="12"/>
      <c r="CO181" s="12"/>
      <c r="CT181"/>
      <c r="CV181" s="12"/>
      <c r="CW181" s="12"/>
      <c r="CZ181" s="12"/>
      <c r="DA181" s="12"/>
      <c r="DC181" s="12"/>
      <c r="DD181" s="12"/>
      <c r="DF181" s="17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X181" s="9"/>
      <c r="EY181" s="9"/>
      <c r="EZ181" s="9"/>
      <c r="FA181" s="15"/>
      <c r="FB181" s="14"/>
      <c r="FC181" s="10"/>
      <c r="FD181" s="10"/>
      <c r="FE181" s="10"/>
      <c r="FF181" s="10"/>
      <c r="FG181" s="10"/>
      <c r="FH181" s="10"/>
    </row>
    <row r="182" spans="2:164" x14ac:dyDescent="0.25">
      <c r="B182"/>
      <c r="C182"/>
      <c r="D182"/>
      <c r="E182"/>
      <c r="F182" s="16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 s="16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 s="12"/>
      <c r="AK182" s="12"/>
      <c r="AL182" s="17"/>
      <c r="AN182" s="17"/>
      <c r="AP182" s="17"/>
      <c r="AQ182" s="12"/>
      <c r="AR182" s="12"/>
      <c r="AT182" s="17"/>
      <c r="AU182" s="12"/>
      <c r="AV182" s="12"/>
      <c r="AW182" s="17"/>
      <c r="AX182" s="12"/>
      <c r="AY182" s="12"/>
      <c r="BA182" s="12"/>
      <c r="BB182" s="12"/>
      <c r="BC182" s="17"/>
      <c r="BD182" s="12"/>
      <c r="BE182" s="12"/>
      <c r="BG182" s="12"/>
      <c r="BH182" s="12"/>
      <c r="BJ182" s="12"/>
      <c r="BK182" s="12"/>
      <c r="BM182" s="12"/>
      <c r="BN182" s="12"/>
      <c r="BO182" s="17"/>
      <c r="BQ182" s="12"/>
      <c r="BR182" s="12"/>
      <c r="BU182" s="12"/>
      <c r="BV182" s="12"/>
      <c r="BW182" s="17"/>
      <c r="BX182" s="17"/>
      <c r="BY182" s="12"/>
      <c r="BZ182" s="12"/>
      <c r="CC182" s="12"/>
      <c r="CD182" s="12"/>
      <c r="CE182"/>
      <c r="CG182" s="12"/>
      <c r="CH182" s="12"/>
      <c r="CI182" s="17"/>
      <c r="CJ182" s="12"/>
      <c r="CK182" s="12"/>
      <c r="CN182" s="12"/>
      <c r="CO182" s="12"/>
      <c r="CT182"/>
      <c r="CV182" s="12"/>
      <c r="CW182" s="12"/>
      <c r="CZ182" s="12"/>
      <c r="DA182" s="12"/>
      <c r="DC182" s="12"/>
      <c r="DD182" s="12"/>
      <c r="DE182" s="17"/>
      <c r="DF182" s="17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X182" s="9"/>
      <c r="EY182" s="9"/>
      <c r="EZ182" s="9"/>
      <c r="FA182" s="15"/>
      <c r="FB182" s="14"/>
      <c r="FC182" s="10"/>
      <c r="FD182" s="10"/>
      <c r="FE182" s="10"/>
      <c r="FF182" s="10"/>
      <c r="FG182" s="10"/>
      <c r="FH182" s="10"/>
    </row>
    <row r="183" spans="2:164" x14ac:dyDescent="0.25">
      <c r="B183"/>
      <c r="C183"/>
      <c r="D183"/>
      <c r="E183"/>
      <c r="F183" s="16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 s="16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 s="12"/>
      <c r="AK183" s="12"/>
      <c r="AL183" s="17"/>
      <c r="AN183" s="17"/>
      <c r="AP183" s="17"/>
      <c r="AQ183" s="12"/>
      <c r="AR183" s="12"/>
      <c r="AT183" s="17"/>
      <c r="AU183" s="12"/>
      <c r="AV183" s="12"/>
      <c r="AW183" s="17"/>
      <c r="AX183" s="12"/>
      <c r="AY183" s="12"/>
      <c r="BA183" s="12"/>
      <c r="BB183" s="12"/>
      <c r="BC183" s="17"/>
      <c r="BD183" s="12"/>
      <c r="BE183" s="12"/>
      <c r="BG183" s="12"/>
      <c r="BH183" s="12"/>
      <c r="BJ183" s="12"/>
      <c r="BK183" s="12"/>
      <c r="BM183" s="12"/>
      <c r="BN183" s="12"/>
      <c r="BO183" s="17"/>
      <c r="BQ183" s="12"/>
      <c r="BR183" s="12"/>
      <c r="BU183" s="12"/>
      <c r="BV183" s="12"/>
      <c r="BY183" s="12"/>
      <c r="BZ183" s="12"/>
      <c r="CA183" s="17"/>
      <c r="CB183" s="17"/>
      <c r="CC183" s="12"/>
      <c r="CD183" s="12"/>
      <c r="CE183"/>
      <c r="CG183" s="12"/>
      <c r="CH183" s="12"/>
      <c r="CJ183" s="12"/>
      <c r="CK183" s="12"/>
      <c r="CN183" s="12"/>
      <c r="CO183" s="12"/>
      <c r="CT183"/>
      <c r="CV183" s="12"/>
      <c r="CW183" s="12"/>
      <c r="CZ183" s="12"/>
      <c r="DA183" s="12"/>
      <c r="DC183" s="12"/>
      <c r="DD183" s="12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X183" s="9"/>
      <c r="EY183" s="9"/>
      <c r="EZ183" s="9"/>
      <c r="FA183" s="15"/>
      <c r="FB183" s="14"/>
      <c r="FC183" s="10"/>
      <c r="FD183" s="10"/>
      <c r="FE183" s="10"/>
      <c r="FF183" s="10"/>
      <c r="FG183" s="10"/>
      <c r="FH183" s="10"/>
    </row>
    <row r="184" spans="2:164" x14ac:dyDescent="0.25">
      <c r="B184"/>
      <c r="C184"/>
      <c r="D184"/>
      <c r="E184"/>
      <c r="F184" s="16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 s="16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 s="12"/>
      <c r="AK184" s="12"/>
      <c r="AL184" s="17"/>
      <c r="AN184" s="17"/>
      <c r="AP184" s="17"/>
      <c r="AQ184" s="12"/>
      <c r="AR184" s="12"/>
      <c r="AT184" s="17"/>
      <c r="AU184" s="12"/>
      <c r="AV184" s="12"/>
      <c r="AW184" s="17"/>
      <c r="AX184" s="12"/>
      <c r="AY184" s="12"/>
      <c r="BA184" s="12"/>
      <c r="BB184" s="12"/>
      <c r="BC184" s="17"/>
      <c r="BD184" s="12"/>
      <c r="BE184" s="12"/>
      <c r="BG184" s="12"/>
      <c r="BH184" s="12"/>
      <c r="BJ184" s="12"/>
      <c r="BK184" s="12"/>
      <c r="BM184" s="12"/>
      <c r="BN184" s="12"/>
      <c r="BO184" s="17"/>
      <c r="BQ184" s="12"/>
      <c r="BR184" s="12"/>
      <c r="BS184" s="17"/>
      <c r="BT184" s="17"/>
      <c r="BU184" s="12"/>
      <c r="BV184" s="12"/>
      <c r="BY184" s="12"/>
      <c r="BZ184" s="12"/>
      <c r="CC184" s="12"/>
      <c r="CD184" s="12"/>
      <c r="CE184"/>
      <c r="CG184" s="12"/>
      <c r="CH184" s="12"/>
      <c r="CI184" s="17"/>
      <c r="CJ184" s="12"/>
      <c r="CK184" s="12"/>
      <c r="CN184" s="12"/>
      <c r="CO184" s="12"/>
      <c r="CT184"/>
      <c r="CV184" s="12"/>
      <c r="CW184" s="12"/>
      <c r="CZ184" s="12"/>
      <c r="DA184" s="12"/>
      <c r="DC184" s="12"/>
      <c r="DD184" s="12"/>
      <c r="DE184" s="17"/>
      <c r="DF184" s="17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X184" s="9"/>
      <c r="EY184" s="9"/>
      <c r="EZ184" s="9"/>
      <c r="FA184" s="15"/>
      <c r="FB184" s="14"/>
      <c r="FC184" s="10"/>
      <c r="FD184" s="10"/>
      <c r="FE184" s="10"/>
      <c r="FF184" s="10"/>
      <c r="FG184" s="10"/>
      <c r="FH184" s="10"/>
    </row>
    <row r="185" spans="2:164" x14ac:dyDescent="0.25">
      <c r="B185"/>
      <c r="C185"/>
      <c r="D185"/>
      <c r="E185"/>
      <c r="F185" s="16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 s="16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 s="12"/>
      <c r="AK185" s="12"/>
      <c r="AL185" s="17"/>
      <c r="AN185" s="17"/>
      <c r="AP185" s="17"/>
      <c r="AQ185" s="12"/>
      <c r="AR185" s="12"/>
      <c r="AT185" s="17"/>
      <c r="AU185" s="12"/>
      <c r="AV185" s="12"/>
      <c r="AW185" s="17"/>
      <c r="AX185" s="12"/>
      <c r="AY185" s="12"/>
      <c r="BA185" s="12"/>
      <c r="BB185" s="12"/>
      <c r="BD185" s="12"/>
      <c r="BE185" s="12"/>
      <c r="BF185" s="17"/>
      <c r="BG185" s="12"/>
      <c r="BH185" s="12"/>
      <c r="BJ185" s="12"/>
      <c r="BK185" s="12"/>
      <c r="BM185" s="12"/>
      <c r="BN185" s="12"/>
      <c r="BO185" s="17"/>
      <c r="BQ185" s="12"/>
      <c r="BR185" s="12"/>
      <c r="BU185" s="12"/>
      <c r="BV185" s="12"/>
      <c r="BY185" s="12"/>
      <c r="BZ185" s="12"/>
      <c r="CA185" s="17"/>
      <c r="CB185" s="17"/>
      <c r="CC185" s="12"/>
      <c r="CD185" s="12"/>
      <c r="CE185"/>
      <c r="CG185" s="12"/>
      <c r="CH185" s="12"/>
      <c r="CJ185" s="12"/>
      <c r="CK185" s="12"/>
      <c r="CN185" s="12"/>
      <c r="CO185" s="12"/>
      <c r="CT185"/>
      <c r="CV185" s="12"/>
      <c r="CW185" s="12"/>
      <c r="CZ185" s="12"/>
      <c r="DA185" s="12"/>
      <c r="DC185" s="12"/>
      <c r="DD185" s="12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X185" s="9"/>
      <c r="EY185" s="9"/>
      <c r="EZ185" s="9"/>
      <c r="FA185" s="15"/>
      <c r="FB185" s="14"/>
      <c r="FC185" s="10"/>
      <c r="FD185" s="10"/>
      <c r="FE185" s="10"/>
      <c r="FF185" s="10"/>
      <c r="FG185" s="10"/>
      <c r="FH185" s="10"/>
    </row>
    <row r="186" spans="2:164" x14ac:dyDescent="0.25">
      <c r="B186"/>
      <c r="C186"/>
      <c r="D186"/>
      <c r="E186"/>
      <c r="F186" s="1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 s="1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 s="12"/>
      <c r="AK186" s="12"/>
      <c r="AL186" s="17"/>
      <c r="AN186" s="17"/>
      <c r="AP186" s="17"/>
      <c r="AQ186" s="12"/>
      <c r="AR186" s="12"/>
      <c r="AT186" s="17"/>
      <c r="AU186" s="12"/>
      <c r="AV186" s="12"/>
      <c r="AW186" s="17"/>
      <c r="AX186" s="12"/>
      <c r="AY186" s="12"/>
      <c r="BA186" s="12"/>
      <c r="BB186" s="12"/>
      <c r="BD186" s="12"/>
      <c r="BE186" s="12"/>
      <c r="BF186" s="17"/>
      <c r="BG186" s="12"/>
      <c r="BH186" s="12"/>
      <c r="BJ186" s="12"/>
      <c r="BK186" s="12"/>
      <c r="BM186" s="12"/>
      <c r="BN186" s="12"/>
      <c r="BO186" s="17"/>
      <c r="BQ186" s="12"/>
      <c r="BR186" s="12"/>
      <c r="BS186" s="17"/>
      <c r="BT186" s="17"/>
      <c r="BU186" s="12"/>
      <c r="BV186" s="12"/>
      <c r="BY186" s="12"/>
      <c r="BZ186" s="12"/>
      <c r="CC186" s="12"/>
      <c r="CD186" s="12"/>
      <c r="CE186"/>
      <c r="CG186" s="12"/>
      <c r="CH186" s="12"/>
      <c r="CI186" s="17"/>
      <c r="CJ186" s="12"/>
      <c r="CK186" s="12"/>
      <c r="CN186" s="12"/>
      <c r="CO186" s="12"/>
      <c r="CT186"/>
      <c r="CV186" s="12"/>
      <c r="CW186" s="12"/>
      <c r="CZ186" s="12"/>
      <c r="DA186" s="12"/>
      <c r="DC186" s="12"/>
      <c r="DD186" s="12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X186" s="9"/>
      <c r="EY186" s="9"/>
      <c r="EZ186" s="9"/>
      <c r="FA186" s="15"/>
      <c r="FB186" s="14"/>
      <c r="FC186" s="10"/>
      <c r="FD186" s="10"/>
      <c r="FE186" s="10"/>
      <c r="FF186" s="10"/>
      <c r="FG186" s="10"/>
      <c r="FH186" s="10"/>
    </row>
    <row r="187" spans="2:164" x14ac:dyDescent="0.25">
      <c r="B187"/>
      <c r="C187"/>
      <c r="D187"/>
      <c r="E187"/>
      <c r="F187" s="16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 s="16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 s="12"/>
      <c r="AK187" s="12"/>
      <c r="AL187" s="17"/>
      <c r="AN187" s="17"/>
      <c r="AP187" s="17"/>
      <c r="AQ187" s="12"/>
      <c r="AR187" s="12"/>
      <c r="AT187" s="17"/>
      <c r="AU187" s="12"/>
      <c r="AV187" s="12"/>
      <c r="AW187" s="17"/>
      <c r="AX187" s="12"/>
      <c r="AY187" s="12"/>
      <c r="BA187" s="12"/>
      <c r="BB187" s="12"/>
      <c r="BC187" s="17"/>
      <c r="BD187" s="12"/>
      <c r="BE187" s="12"/>
      <c r="BG187" s="12"/>
      <c r="BH187" s="12"/>
      <c r="BJ187" s="12"/>
      <c r="BK187" s="12"/>
      <c r="BM187" s="12"/>
      <c r="BN187" s="12"/>
      <c r="BO187" s="17"/>
      <c r="BQ187" s="12"/>
      <c r="BR187" s="12"/>
      <c r="BU187" s="12"/>
      <c r="BV187" s="12"/>
      <c r="BY187" s="12"/>
      <c r="BZ187" s="12"/>
      <c r="CA187" s="17"/>
      <c r="CB187" s="17"/>
      <c r="CC187" s="12"/>
      <c r="CD187" s="12"/>
      <c r="CE187"/>
      <c r="CG187" s="12"/>
      <c r="CH187" s="12"/>
      <c r="CJ187" s="12"/>
      <c r="CK187" s="12"/>
      <c r="CN187" s="12"/>
      <c r="CO187" s="12"/>
      <c r="CT187"/>
      <c r="CV187" s="12"/>
      <c r="CW187" s="12"/>
      <c r="CZ187" s="12"/>
      <c r="DA187" s="12"/>
      <c r="DC187" s="12"/>
      <c r="DD187" s="12"/>
      <c r="DF187" s="1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X187" s="9"/>
      <c r="EY187" s="9"/>
      <c r="EZ187" s="9"/>
      <c r="FA187" s="15"/>
      <c r="FB187" s="14"/>
      <c r="FC187" s="10"/>
      <c r="FD187" s="10"/>
      <c r="FE187" s="10"/>
      <c r="FF187" s="10"/>
      <c r="FG187" s="10"/>
      <c r="FH187" s="10"/>
    </row>
    <row r="188" spans="2:164" x14ac:dyDescent="0.25">
      <c r="B188"/>
      <c r="C188"/>
      <c r="D188"/>
      <c r="E188"/>
      <c r="F188" s="16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 s="16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 s="12"/>
      <c r="AK188" s="12"/>
      <c r="AL188" s="17"/>
      <c r="AN188" s="17"/>
      <c r="AP188" s="17"/>
      <c r="AQ188" s="12"/>
      <c r="AR188" s="12"/>
      <c r="AT188" s="17"/>
      <c r="AU188" s="12"/>
      <c r="AV188" s="12"/>
      <c r="AW188" s="17"/>
      <c r="AX188" s="12"/>
      <c r="AY188" s="12"/>
      <c r="BA188" s="12"/>
      <c r="BB188" s="12"/>
      <c r="BC188" s="17"/>
      <c r="BD188" s="12"/>
      <c r="BE188" s="12"/>
      <c r="BG188" s="12"/>
      <c r="BH188" s="12"/>
      <c r="BJ188" s="12"/>
      <c r="BK188" s="12"/>
      <c r="BM188" s="12"/>
      <c r="BN188" s="12"/>
      <c r="BO188" s="17"/>
      <c r="BQ188" s="12"/>
      <c r="BR188" s="12"/>
      <c r="BS188" s="17"/>
      <c r="BT188" s="17"/>
      <c r="BU188" s="12"/>
      <c r="BV188" s="12"/>
      <c r="BY188" s="12"/>
      <c r="BZ188" s="12"/>
      <c r="CC188" s="12"/>
      <c r="CD188" s="12"/>
      <c r="CE188"/>
      <c r="CG188" s="12"/>
      <c r="CH188" s="12"/>
      <c r="CI188" s="17"/>
      <c r="CJ188" s="12"/>
      <c r="CK188" s="12"/>
      <c r="CN188" s="12"/>
      <c r="CO188" s="12"/>
      <c r="CT188"/>
      <c r="CV188" s="12"/>
      <c r="CW188" s="12"/>
      <c r="CZ188" s="12"/>
      <c r="DA188" s="12"/>
      <c r="DC188" s="12"/>
      <c r="DD188" s="12"/>
      <c r="DE188" s="17"/>
      <c r="DF188" s="17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X188" s="9"/>
      <c r="EY188" s="9"/>
      <c r="EZ188" s="9"/>
      <c r="FA188" s="15"/>
      <c r="FB188" s="14"/>
      <c r="FC188" s="10"/>
      <c r="FD188" s="10"/>
      <c r="FE188" s="10"/>
      <c r="FF188" s="10"/>
      <c r="FG188" s="10"/>
      <c r="FH188" s="10"/>
    </row>
    <row r="189" spans="2:164" x14ac:dyDescent="0.25">
      <c r="B189"/>
      <c r="C189"/>
      <c r="D189"/>
      <c r="E189"/>
      <c r="F189" s="16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 s="16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 s="12"/>
      <c r="AK189" s="12"/>
      <c r="AL189" s="17"/>
      <c r="AN189" s="17"/>
      <c r="AP189" s="17"/>
      <c r="AQ189" s="12"/>
      <c r="AR189" s="12"/>
      <c r="AT189" s="17"/>
      <c r="AU189" s="12"/>
      <c r="AV189" s="12"/>
      <c r="AW189" s="17"/>
      <c r="AX189" s="12"/>
      <c r="AY189" s="12"/>
      <c r="BA189" s="12"/>
      <c r="BB189" s="12"/>
      <c r="BC189" s="17"/>
      <c r="BD189" s="12"/>
      <c r="BE189" s="12"/>
      <c r="BG189" s="12"/>
      <c r="BH189" s="12"/>
      <c r="BJ189" s="12"/>
      <c r="BK189" s="12"/>
      <c r="BM189" s="12"/>
      <c r="BN189" s="12"/>
      <c r="BO189" s="17"/>
      <c r="BQ189" s="12"/>
      <c r="BR189" s="12"/>
      <c r="BS189" s="17"/>
      <c r="BT189" s="17"/>
      <c r="BU189" s="12"/>
      <c r="BV189" s="12"/>
      <c r="BY189" s="12"/>
      <c r="BZ189" s="12"/>
      <c r="CC189" s="12"/>
      <c r="CD189" s="12"/>
      <c r="CE189"/>
      <c r="CG189" s="12"/>
      <c r="CH189" s="12"/>
      <c r="CI189" s="17"/>
      <c r="CJ189" s="12"/>
      <c r="CK189" s="12"/>
      <c r="CN189" s="12"/>
      <c r="CO189" s="12"/>
      <c r="CT189"/>
      <c r="CV189" s="12"/>
      <c r="CW189" s="12"/>
      <c r="CZ189" s="12"/>
      <c r="DA189" s="12"/>
      <c r="DC189" s="12"/>
      <c r="DD189" s="12"/>
      <c r="DF189" s="17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X189" s="9"/>
      <c r="EY189" s="9"/>
      <c r="EZ189" s="9"/>
      <c r="FA189" s="15"/>
      <c r="FB189" s="14"/>
      <c r="FC189" s="10"/>
      <c r="FD189" s="10"/>
      <c r="FE189" s="10"/>
      <c r="FF189" s="10"/>
      <c r="FG189" s="10"/>
      <c r="FH189" s="10"/>
    </row>
    <row r="190" spans="2:164" x14ac:dyDescent="0.25">
      <c r="B190"/>
      <c r="C190"/>
      <c r="D190"/>
      <c r="E190"/>
      <c r="F190" s="16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 s="16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 s="12"/>
      <c r="AK190" s="12"/>
      <c r="AL190" s="17"/>
      <c r="AN190" s="17"/>
      <c r="AP190" s="17"/>
      <c r="AQ190" s="12"/>
      <c r="AR190" s="12"/>
      <c r="AT190" s="17"/>
      <c r="AU190" s="12"/>
      <c r="AV190" s="12"/>
      <c r="AW190" s="17"/>
      <c r="AX190" s="12"/>
      <c r="AY190" s="12"/>
      <c r="BA190" s="12"/>
      <c r="BB190" s="12"/>
      <c r="BC190" s="17"/>
      <c r="BD190" s="12"/>
      <c r="BE190" s="12"/>
      <c r="BG190" s="12"/>
      <c r="BH190" s="12"/>
      <c r="BJ190" s="12"/>
      <c r="BK190" s="12"/>
      <c r="BM190" s="12"/>
      <c r="BN190" s="12"/>
      <c r="BO190" s="17"/>
      <c r="BQ190" s="12"/>
      <c r="BR190" s="12"/>
      <c r="BS190" s="17"/>
      <c r="BT190" s="17"/>
      <c r="BU190" s="12"/>
      <c r="BV190" s="12"/>
      <c r="BY190" s="12"/>
      <c r="BZ190" s="12"/>
      <c r="CC190" s="12"/>
      <c r="CD190" s="12"/>
      <c r="CE190"/>
      <c r="CG190" s="12"/>
      <c r="CH190" s="12"/>
      <c r="CI190" s="17"/>
      <c r="CJ190" s="12"/>
      <c r="CK190" s="12"/>
      <c r="CN190" s="12"/>
      <c r="CO190" s="12"/>
      <c r="CT190"/>
      <c r="CV190" s="12"/>
      <c r="CW190" s="12"/>
      <c r="CZ190" s="12"/>
      <c r="DA190" s="12"/>
      <c r="DB190" s="17"/>
      <c r="DC190" s="12"/>
      <c r="DD190" s="12"/>
      <c r="DE190" s="17"/>
      <c r="DF190" s="17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X190" s="9"/>
      <c r="EY190" s="9"/>
      <c r="EZ190" s="9"/>
      <c r="FA190" s="15"/>
      <c r="FB190" s="14"/>
      <c r="FC190" s="10"/>
      <c r="FD190" s="10"/>
      <c r="FE190" s="10"/>
      <c r="FF190" s="10"/>
      <c r="FG190" s="10"/>
      <c r="FH190" s="10"/>
    </row>
    <row r="191" spans="2:164" x14ac:dyDescent="0.25">
      <c r="B191"/>
      <c r="C191"/>
      <c r="D191"/>
      <c r="E191"/>
      <c r="F191" s="16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 s="16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 s="12"/>
      <c r="AK191" s="12"/>
      <c r="AL191" s="17"/>
      <c r="AN191" s="17"/>
      <c r="AP191" s="17"/>
      <c r="AQ191" s="12"/>
      <c r="AR191" s="12"/>
      <c r="AT191" s="17"/>
      <c r="AU191" s="12"/>
      <c r="AV191" s="12"/>
      <c r="AW191" s="17"/>
      <c r="AX191" s="12"/>
      <c r="AY191" s="12"/>
      <c r="BA191" s="12"/>
      <c r="BB191" s="12"/>
      <c r="BC191" s="17"/>
      <c r="BD191" s="12"/>
      <c r="BE191" s="12"/>
      <c r="BG191" s="12"/>
      <c r="BH191" s="12"/>
      <c r="BJ191" s="12"/>
      <c r="BK191" s="12"/>
      <c r="BM191" s="12"/>
      <c r="BN191" s="12"/>
      <c r="BO191" s="17"/>
      <c r="BQ191" s="12"/>
      <c r="BR191" s="12"/>
      <c r="BS191" s="17"/>
      <c r="BT191" s="17"/>
      <c r="BU191" s="12"/>
      <c r="BV191" s="12"/>
      <c r="BY191" s="12"/>
      <c r="BZ191" s="12"/>
      <c r="CC191" s="12"/>
      <c r="CD191" s="12"/>
      <c r="CE191"/>
      <c r="CG191" s="12"/>
      <c r="CH191" s="12"/>
      <c r="CI191" s="17"/>
      <c r="CJ191" s="12"/>
      <c r="CK191" s="12"/>
      <c r="CN191" s="12"/>
      <c r="CO191" s="12"/>
      <c r="CT191"/>
      <c r="CV191" s="12"/>
      <c r="CW191" s="12"/>
      <c r="CZ191" s="12"/>
      <c r="DA191" s="12"/>
      <c r="DC191" s="12"/>
      <c r="DD191" s="12"/>
      <c r="DF191" s="17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X191" s="9"/>
      <c r="EY191" s="9"/>
      <c r="EZ191" s="9"/>
      <c r="FA191" s="15"/>
      <c r="FB191" s="14"/>
      <c r="FC191" s="10"/>
      <c r="FD191" s="10"/>
      <c r="FE191" s="10"/>
      <c r="FF191" s="10"/>
      <c r="FG191" s="10"/>
      <c r="FH191" s="10"/>
    </row>
    <row r="192" spans="2:164" x14ac:dyDescent="0.25">
      <c r="B192"/>
      <c r="C192"/>
      <c r="D192"/>
      <c r="E192"/>
      <c r="F192" s="16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 s="16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 s="12"/>
      <c r="AK192" s="12"/>
      <c r="AL192" s="17"/>
      <c r="AN192" s="17"/>
      <c r="AP192" s="17"/>
      <c r="AQ192" s="12"/>
      <c r="AR192" s="12"/>
      <c r="AT192" s="17"/>
      <c r="AU192" s="12"/>
      <c r="AV192" s="12"/>
      <c r="AW192" s="17"/>
      <c r="AX192" s="12"/>
      <c r="AY192" s="12"/>
      <c r="BA192" s="12"/>
      <c r="BB192" s="12"/>
      <c r="BC192" s="17"/>
      <c r="BD192" s="12"/>
      <c r="BE192" s="12"/>
      <c r="BG192" s="12"/>
      <c r="BH192" s="12"/>
      <c r="BJ192" s="12"/>
      <c r="BK192" s="12"/>
      <c r="BM192" s="12"/>
      <c r="BN192" s="12"/>
      <c r="BO192" s="17"/>
      <c r="BQ192" s="12"/>
      <c r="BR192" s="12"/>
      <c r="BU192" s="12"/>
      <c r="BV192" s="12"/>
      <c r="BY192" s="12"/>
      <c r="BZ192" s="12"/>
      <c r="CA192" s="17"/>
      <c r="CB192" s="17"/>
      <c r="CC192" s="12"/>
      <c r="CD192" s="12"/>
      <c r="CE192"/>
      <c r="CG192" s="12"/>
      <c r="CH192" s="12"/>
      <c r="CJ192" s="12"/>
      <c r="CK192" s="12"/>
      <c r="CN192" s="12"/>
      <c r="CO192" s="12"/>
      <c r="CT192"/>
      <c r="CV192" s="12"/>
      <c r="CW192" s="12"/>
      <c r="CZ192" s="12"/>
      <c r="DA192" s="12"/>
      <c r="DC192" s="12"/>
      <c r="DD192" s="12"/>
      <c r="DF192" s="17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X192" s="9"/>
      <c r="EY192" s="9"/>
      <c r="EZ192" s="9"/>
      <c r="FA192" s="15"/>
      <c r="FB192" s="14"/>
      <c r="FC192" s="10"/>
      <c r="FD192" s="10"/>
      <c r="FE192" s="10"/>
      <c r="FF192" s="10"/>
      <c r="FG192" s="10"/>
      <c r="FH192" s="10"/>
    </row>
    <row r="193" spans="2:164" x14ac:dyDescent="0.25">
      <c r="B193"/>
      <c r="C193"/>
      <c r="D193"/>
      <c r="E193"/>
      <c r="F193" s="16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 s="16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 s="12"/>
      <c r="AK193" s="12"/>
      <c r="AL193" s="17"/>
      <c r="AN193" s="17"/>
      <c r="AP193" s="17"/>
      <c r="AQ193" s="12"/>
      <c r="AR193" s="12"/>
      <c r="AT193" s="17"/>
      <c r="AU193" s="12"/>
      <c r="AV193" s="12"/>
      <c r="AW193" s="17"/>
      <c r="AX193" s="12"/>
      <c r="AY193" s="12"/>
      <c r="BA193" s="12"/>
      <c r="BB193" s="12"/>
      <c r="BC193" s="17"/>
      <c r="BD193" s="12"/>
      <c r="BE193" s="12"/>
      <c r="BG193" s="12"/>
      <c r="BH193" s="12"/>
      <c r="BJ193" s="12"/>
      <c r="BK193" s="12"/>
      <c r="BM193" s="12"/>
      <c r="BN193" s="12"/>
      <c r="BO193" s="17"/>
      <c r="BQ193" s="12"/>
      <c r="BR193" s="12"/>
      <c r="BS193" s="17"/>
      <c r="BT193" s="17"/>
      <c r="BU193" s="12"/>
      <c r="BV193" s="12"/>
      <c r="BY193" s="12"/>
      <c r="BZ193" s="12"/>
      <c r="CC193" s="12"/>
      <c r="CD193" s="12"/>
      <c r="CE193"/>
      <c r="CG193" s="12"/>
      <c r="CH193" s="12"/>
      <c r="CJ193" s="12"/>
      <c r="CK193" s="12"/>
      <c r="CL193" s="17"/>
      <c r="CM193" s="17"/>
      <c r="CN193" s="12"/>
      <c r="CO193" s="12"/>
      <c r="CT193"/>
      <c r="CV193" s="12"/>
      <c r="CW193" s="12"/>
      <c r="CZ193" s="12"/>
      <c r="DA193" s="12"/>
      <c r="DC193" s="12"/>
      <c r="DD193" s="12"/>
      <c r="DE193" s="17"/>
      <c r="DF193" s="17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X193" s="9"/>
      <c r="EY193" s="9"/>
      <c r="EZ193" s="9"/>
      <c r="FA193" s="15"/>
      <c r="FB193" s="14"/>
      <c r="FC193" s="10"/>
      <c r="FD193" s="10"/>
      <c r="FE193" s="10"/>
      <c r="FF193" s="10"/>
      <c r="FG193" s="10"/>
      <c r="FH193" s="10"/>
    </row>
    <row r="194" spans="2:164" x14ac:dyDescent="0.25">
      <c r="B194"/>
      <c r="C194"/>
      <c r="D194"/>
      <c r="E194"/>
      <c r="F194" s="16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 s="16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 s="12"/>
      <c r="AK194" s="12"/>
      <c r="AL194" s="17"/>
      <c r="AN194" s="17"/>
      <c r="AP194" s="17"/>
      <c r="AQ194" s="12"/>
      <c r="AR194" s="12"/>
      <c r="AT194" s="17"/>
      <c r="AU194" s="12"/>
      <c r="AV194" s="12"/>
      <c r="AW194" s="17"/>
      <c r="AX194" s="12"/>
      <c r="AY194" s="12"/>
      <c r="BA194" s="12"/>
      <c r="BB194" s="12"/>
      <c r="BC194" s="17"/>
      <c r="BD194" s="12"/>
      <c r="BE194" s="12"/>
      <c r="BG194" s="12"/>
      <c r="BH194" s="12"/>
      <c r="BJ194" s="12"/>
      <c r="BK194" s="12"/>
      <c r="BM194" s="12"/>
      <c r="BN194" s="12"/>
      <c r="BO194" s="17"/>
      <c r="BQ194" s="12"/>
      <c r="BR194" s="12"/>
      <c r="BU194" s="12"/>
      <c r="BV194" s="12"/>
      <c r="BY194" s="12"/>
      <c r="BZ194" s="12"/>
      <c r="CA194" s="17"/>
      <c r="CB194" s="17"/>
      <c r="CC194" s="12"/>
      <c r="CD194" s="12"/>
      <c r="CE194"/>
      <c r="CG194" s="12"/>
      <c r="CH194" s="12"/>
      <c r="CJ194" s="12"/>
      <c r="CK194" s="12"/>
      <c r="CN194" s="12"/>
      <c r="CO194" s="12"/>
      <c r="CT194"/>
      <c r="CV194" s="12"/>
      <c r="CW194" s="12"/>
      <c r="CZ194" s="12"/>
      <c r="DA194" s="12"/>
      <c r="DC194" s="12"/>
      <c r="DD194" s="12"/>
      <c r="DF194" s="17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X194" s="9"/>
      <c r="EY194" s="9"/>
      <c r="EZ194" s="9"/>
      <c r="FA194" s="15"/>
      <c r="FB194" s="14"/>
      <c r="FC194" s="10"/>
      <c r="FD194" s="10"/>
      <c r="FE194" s="10"/>
      <c r="FF194" s="10"/>
      <c r="FG194" s="10"/>
      <c r="FH194" s="10"/>
    </row>
    <row r="195" spans="2:164" x14ac:dyDescent="0.25">
      <c r="B195"/>
      <c r="C195"/>
      <c r="D195"/>
      <c r="E195"/>
      <c r="F195" s="16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 s="16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 s="12"/>
      <c r="AK195" s="12"/>
      <c r="AL195" s="17"/>
      <c r="AN195" s="17"/>
      <c r="AP195" s="17"/>
      <c r="AQ195" s="12"/>
      <c r="AR195" s="12"/>
      <c r="AT195" s="17"/>
      <c r="AU195" s="12"/>
      <c r="AV195" s="12"/>
      <c r="AW195" s="17"/>
      <c r="AX195" s="12"/>
      <c r="AY195" s="12"/>
      <c r="BA195" s="12"/>
      <c r="BB195" s="12"/>
      <c r="BC195" s="17"/>
      <c r="BD195" s="12"/>
      <c r="BE195" s="12"/>
      <c r="BG195" s="12"/>
      <c r="BH195" s="12"/>
      <c r="BJ195" s="12"/>
      <c r="BK195" s="12"/>
      <c r="BM195" s="12"/>
      <c r="BN195" s="12"/>
      <c r="BO195" s="17"/>
      <c r="BQ195" s="12"/>
      <c r="BR195" s="12"/>
      <c r="BS195" s="17"/>
      <c r="BT195" s="17"/>
      <c r="BU195" s="12"/>
      <c r="BV195" s="12"/>
      <c r="BY195" s="12"/>
      <c r="BZ195" s="12"/>
      <c r="CC195" s="12"/>
      <c r="CD195" s="12"/>
      <c r="CE195"/>
      <c r="CG195" s="12"/>
      <c r="CH195" s="12"/>
      <c r="CI195" s="17"/>
      <c r="CJ195" s="12"/>
      <c r="CK195" s="12"/>
      <c r="CN195" s="12"/>
      <c r="CO195" s="12"/>
      <c r="CT195"/>
      <c r="CV195" s="12"/>
      <c r="CW195" s="12"/>
      <c r="CZ195" s="12"/>
      <c r="DA195" s="12"/>
      <c r="DC195" s="12"/>
      <c r="DD195" s="12"/>
      <c r="DE195" s="17"/>
      <c r="DF195" s="17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X195" s="9"/>
      <c r="EY195" s="9"/>
      <c r="EZ195" s="9"/>
      <c r="FA195" s="15"/>
      <c r="FB195" s="14"/>
      <c r="FC195" s="10"/>
      <c r="FD195" s="10"/>
      <c r="FE195" s="10"/>
      <c r="FF195" s="10"/>
      <c r="FG195" s="10"/>
      <c r="FH195" s="10"/>
    </row>
    <row r="196" spans="2:164" x14ac:dyDescent="0.25">
      <c r="B196"/>
      <c r="C196"/>
      <c r="D196"/>
      <c r="E196"/>
      <c r="F196" s="1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 s="1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 s="12"/>
      <c r="AK196" s="12"/>
      <c r="AL196" s="17"/>
      <c r="AN196" s="17"/>
      <c r="AP196" s="17"/>
      <c r="AQ196" s="12"/>
      <c r="AR196" s="12"/>
      <c r="AT196" s="17"/>
      <c r="AU196" s="12"/>
      <c r="AV196" s="12"/>
      <c r="AW196" s="17"/>
      <c r="AX196" s="12"/>
      <c r="AY196" s="12"/>
      <c r="BA196" s="12"/>
      <c r="BB196" s="12"/>
      <c r="BC196" s="17"/>
      <c r="BD196" s="12"/>
      <c r="BE196" s="12"/>
      <c r="BG196" s="12"/>
      <c r="BH196" s="12"/>
      <c r="BJ196" s="12"/>
      <c r="BK196" s="12"/>
      <c r="BM196" s="12"/>
      <c r="BN196" s="12"/>
      <c r="BO196" s="17"/>
      <c r="BQ196" s="12"/>
      <c r="BR196" s="12"/>
      <c r="BS196" s="17"/>
      <c r="BT196" s="17"/>
      <c r="BU196" s="12"/>
      <c r="BV196" s="12"/>
      <c r="BY196" s="12"/>
      <c r="BZ196" s="12"/>
      <c r="CC196" s="12"/>
      <c r="CD196" s="12"/>
      <c r="CE196"/>
      <c r="CG196" s="12"/>
      <c r="CH196" s="12"/>
      <c r="CJ196" s="12"/>
      <c r="CK196" s="12"/>
      <c r="CL196" s="17"/>
      <c r="CM196" s="17"/>
      <c r="CN196" s="12"/>
      <c r="CO196" s="12"/>
      <c r="CT196"/>
      <c r="CV196" s="12"/>
      <c r="CW196" s="12"/>
      <c r="CZ196" s="12"/>
      <c r="DA196" s="12"/>
      <c r="DC196" s="12"/>
      <c r="DD196" s="12"/>
      <c r="DF196" s="17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X196" s="9"/>
      <c r="EY196" s="9"/>
      <c r="EZ196" s="9"/>
      <c r="FA196" s="15"/>
      <c r="FB196" s="14"/>
      <c r="FC196" s="10"/>
      <c r="FD196" s="10"/>
      <c r="FE196" s="10"/>
      <c r="FF196" s="10"/>
      <c r="FG196" s="10"/>
      <c r="FH196" s="10"/>
    </row>
    <row r="197" spans="2:164" x14ac:dyDescent="0.25">
      <c r="B197"/>
      <c r="C197"/>
      <c r="D197"/>
      <c r="E197"/>
      <c r="F197" s="16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 s="16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 s="12"/>
      <c r="AK197" s="12"/>
      <c r="AL197" s="17"/>
      <c r="AN197" s="17"/>
      <c r="AP197" s="17"/>
      <c r="AQ197" s="12"/>
      <c r="AR197" s="12"/>
      <c r="AT197" s="17"/>
      <c r="AU197" s="12"/>
      <c r="AV197" s="12"/>
      <c r="AW197" s="17"/>
      <c r="AX197" s="12"/>
      <c r="AY197" s="12"/>
      <c r="BA197" s="12"/>
      <c r="BB197" s="12"/>
      <c r="BC197" s="17"/>
      <c r="BD197" s="12"/>
      <c r="BE197" s="12"/>
      <c r="BG197" s="12"/>
      <c r="BH197" s="12"/>
      <c r="BJ197" s="12"/>
      <c r="BK197" s="12"/>
      <c r="BM197" s="12"/>
      <c r="BN197" s="12"/>
      <c r="BO197" s="17"/>
      <c r="BQ197" s="12"/>
      <c r="BR197" s="12"/>
      <c r="BU197" s="12"/>
      <c r="BV197" s="12"/>
      <c r="BY197" s="12"/>
      <c r="BZ197" s="12"/>
      <c r="CA197" s="17"/>
      <c r="CB197" s="17"/>
      <c r="CC197" s="12"/>
      <c r="CD197" s="12"/>
      <c r="CE197"/>
      <c r="CG197" s="12"/>
      <c r="CH197" s="12"/>
      <c r="CJ197" s="12"/>
      <c r="CK197" s="12"/>
      <c r="CN197" s="12"/>
      <c r="CO197" s="12"/>
      <c r="CT197"/>
      <c r="CV197" s="12"/>
      <c r="CW197" s="12"/>
      <c r="CZ197" s="12"/>
      <c r="DA197" s="12"/>
      <c r="DC197" s="12"/>
      <c r="DD197" s="12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X197" s="9"/>
      <c r="EY197" s="9"/>
      <c r="EZ197" s="9"/>
      <c r="FA197" s="15"/>
      <c r="FB197" s="14"/>
      <c r="FC197" s="10"/>
      <c r="FD197" s="10"/>
      <c r="FE197" s="10"/>
      <c r="FF197" s="10"/>
      <c r="FG197" s="10"/>
      <c r="FH197" s="10"/>
    </row>
    <row r="198" spans="2:164" x14ac:dyDescent="0.25">
      <c r="B198"/>
      <c r="C198"/>
      <c r="D198"/>
      <c r="E198"/>
      <c r="F198" s="16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 s="16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 s="12"/>
      <c r="AK198" s="12"/>
      <c r="AL198" s="17"/>
      <c r="AN198" s="17"/>
      <c r="AP198" s="17"/>
      <c r="AQ198" s="12"/>
      <c r="AR198" s="12"/>
      <c r="AT198" s="17"/>
      <c r="AU198" s="12"/>
      <c r="AV198" s="12"/>
      <c r="AW198" s="17"/>
      <c r="AX198" s="12"/>
      <c r="AY198" s="12"/>
      <c r="BA198" s="12"/>
      <c r="BB198" s="12"/>
      <c r="BC198" s="17"/>
      <c r="BD198" s="12"/>
      <c r="BE198" s="12"/>
      <c r="BG198" s="12"/>
      <c r="BH198" s="12"/>
      <c r="BJ198" s="12"/>
      <c r="BK198" s="12"/>
      <c r="BM198" s="12"/>
      <c r="BN198" s="12"/>
      <c r="BO198" s="17"/>
      <c r="BQ198" s="12"/>
      <c r="BR198" s="12"/>
      <c r="BU198" s="12"/>
      <c r="BV198" s="12"/>
      <c r="BY198" s="12"/>
      <c r="BZ198" s="12"/>
      <c r="CC198" s="12"/>
      <c r="CD198" s="12"/>
      <c r="CE198"/>
      <c r="CG198" s="12"/>
      <c r="CH198" s="12"/>
      <c r="CI198" s="17"/>
      <c r="CJ198" s="12"/>
      <c r="CK198" s="12"/>
      <c r="CN198" s="12"/>
      <c r="CO198" s="12"/>
      <c r="CT198"/>
      <c r="CV198" s="12"/>
      <c r="CW198" s="12"/>
      <c r="CZ198" s="12"/>
      <c r="DA198" s="12"/>
      <c r="DC198" s="12"/>
      <c r="DD198" s="12"/>
      <c r="DE198" s="17"/>
      <c r="DF198" s="17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X198" s="9"/>
      <c r="EY198" s="9"/>
      <c r="EZ198" s="9"/>
      <c r="FA198" s="15"/>
      <c r="FB198" s="14"/>
      <c r="FC198" s="10"/>
      <c r="FD198" s="10"/>
      <c r="FE198" s="10"/>
      <c r="FF198" s="10"/>
      <c r="FG198" s="10"/>
      <c r="FH198" s="10"/>
    </row>
    <row r="199" spans="2:164" x14ac:dyDescent="0.25">
      <c r="B199"/>
      <c r="C199"/>
      <c r="D199"/>
      <c r="E199"/>
      <c r="F199" s="16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 s="16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 s="12"/>
      <c r="AK199" s="12"/>
      <c r="AL199" s="17"/>
      <c r="AN199" s="17"/>
      <c r="AP199" s="17"/>
      <c r="AQ199" s="12"/>
      <c r="AR199" s="12"/>
      <c r="AT199" s="17"/>
      <c r="AU199" s="12"/>
      <c r="AV199" s="12"/>
      <c r="AW199" s="17"/>
      <c r="AX199" s="12"/>
      <c r="AY199" s="12"/>
      <c r="BA199" s="12"/>
      <c r="BB199" s="12"/>
      <c r="BC199" s="17"/>
      <c r="BD199" s="12"/>
      <c r="BE199" s="12"/>
      <c r="BG199" s="12"/>
      <c r="BH199" s="12"/>
      <c r="BJ199" s="12"/>
      <c r="BK199" s="12"/>
      <c r="BM199" s="12"/>
      <c r="BN199" s="12"/>
      <c r="BO199" s="17"/>
      <c r="BQ199" s="12"/>
      <c r="BR199" s="12"/>
      <c r="BU199" s="12"/>
      <c r="BV199" s="12"/>
      <c r="BY199" s="12"/>
      <c r="BZ199" s="12"/>
      <c r="CA199" s="17"/>
      <c r="CB199" s="17"/>
      <c r="CC199" s="12"/>
      <c r="CD199" s="12"/>
      <c r="CE199"/>
      <c r="CG199" s="12"/>
      <c r="CH199" s="12"/>
      <c r="CJ199" s="12"/>
      <c r="CK199" s="12"/>
      <c r="CN199" s="12"/>
      <c r="CO199" s="12"/>
      <c r="CT199"/>
      <c r="CV199" s="12"/>
      <c r="CW199" s="12"/>
      <c r="CZ199" s="12"/>
      <c r="DA199" s="12"/>
      <c r="DB199" s="17"/>
      <c r="DC199" s="12"/>
      <c r="DD199" s="12"/>
      <c r="DF199" s="17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X199" s="9"/>
      <c r="EY199" s="9"/>
      <c r="EZ199" s="9"/>
      <c r="FA199" s="15"/>
      <c r="FB199" s="14"/>
      <c r="FC199" s="10"/>
      <c r="FD199" s="10"/>
      <c r="FE199" s="10"/>
      <c r="FF199" s="10"/>
      <c r="FG199" s="10"/>
      <c r="FH199" s="10"/>
    </row>
    <row r="200" spans="2:164" x14ac:dyDescent="0.25">
      <c r="B200"/>
      <c r="C200"/>
      <c r="D200"/>
      <c r="E200"/>
      <c r="F200" s="16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 s="16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 s="12"/>
      <c r="AK200" s="12"/>
      <c r="AL200" s="17"/>
      <c r="AN200" s="17"/>
      <c r="AP200" s="17"/>
      <c r="AQ200" s="12"/>
      <c r="AR200" s="12"/>
      <c r="AT200" s="17"/>
      <c r="AU200" s="12"/>
      <c r="AV200" s="12"/>
      <c r="AW200" s="17"/>
      <c r="AX200" s="12"/>
      <c r="AY200" s="12"/>
      <c r="BA200" s="12"/>
      <c r="BB200" s="12"/>
      <c r="BC200" s="17"/>
      <c r="BD200" s="12"/>
      <c r="BE200" s="12"/>
      <c r="BG200" s="12"/>
      <c r="BH200" s="12"/>
      <c r="BJ200" s="12"/>
      <c r="BK200" s="12"/>
      <c r="BM200" s="12"/>
      <c r="BN200" s="12"/>
      <c r="BO200" s="17"/>
      <c r="BQ200" s="12"/>
      <c r="BR200" s="12"/>
      <c r="BS200" s="17"/>
      <c r="BT200" s="17"/>
      <c r="BU200" s="12"/>
      <c r="BV200" s="12"/>
      <c r="BY200" s="12"/>
      <c r="BZ200" s="12"/>
      <c r="CC200" s="12"/>
      <c r="CD200" s="12"/>
      <c r="CE200"/>
      <c r="CG200" s="12"/>
      <c r="CH200" s="12"/>
      <c r="CJ200" s="12"/>
      <c r="CK200" s="12"/>
      <c r="CL200" s="17"/>
      <c r="CM200" s="17"/>
      <c r="CN200" s="12"/>
      <c r="CO200" s="12"/>
      <c r="CT200"/>
      <c r="CV200" s="12"/>
      <c r="CW200" s="12"/>
      <c r="CZ200" s="12"/>
      <c r="DA200" s="12"/>
      <c r="DB200" s="17"/>
      <c r="DC200" s="12"/>
      <c r="DD200" s="12"/>
      <c r="DF200" s="17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X200" s="9"/>
      <c r="EY200" s="9"/>
      <c r="EZ200" s="9"/>
      <c r="FA200" s="15"/>
      <c r="FB200" s="14"/>
      <c r="FC200" s="10"/>
      <c r="FD200" s="10"/>
      <c r="FE200" s="10"/>
      <c r="FF200" s="10"/>
      <c r="FG200" s="10"/>
      <c r="FH200" s="10"/>
    </row>
    <row r="201" spans="2:164" x14ac:dyDescent="0.25">
      <c r="B201"/>
      <c r="C201"/>
      <c r="D201"/>
      <c r="E201"/>
      <c r="F201" s="16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 s="16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 s="12"/>
      <c r="AK201" s="12"/>
      <c r="AL201" s="17"/>
      <c r="AN201" s="17"/>
      <c r="AP201" s="17"/>
      <c r="AQ201" s="12"/>
      <c r="AR201" s="12"/>
      <c r="AT201" s="17"/>
      <c r="AU201" s="12"/>
      <c r="AV201" s="12"/>
      <c r="AW201" s="17"/>
      <c r="AX201" s="12"/>
      <c r="AY201" s="12"/>
      <c r="BA201" s="12"/>
      <c r="BB201" s="12"/>
      <c r="BC201" s="17"/>
      <c r="BD201" s="12"/>
      <c r="BE201" s="12"/>
      <c r="BG201" s="12"/>
      <c r="BH201" s="12"/>
      <c r="BJ201" s="12"/>
      <c r="BK201" s="12"/>
      <c r="BM201" s="12"/>
      <c r="BN201" s="12"/>
      <c r="BO201" s="17"/>
      <c r="BQ201" s="12"/>
      <c r="BR201" s="12"/>
      <c r="BU201" s="12"/>
      <c r="BV201" s="12"/>
      <c r="BY201" s="12"/>
      <c r="BZ201" s="12"/>
      <c r="CA201" s="17"/>
      <c r="CB201" s="17"/>
      <c r="CC201" s="12"/>
      <c r="CD201" s="12"/>
      <c r="CE201"/>
      <c r="CG201" s="12"/>
      <c r="CH201" s="12"/>
      <c r="CJ201" s="12"/>
      <c r="CK201" s="12"/>
      <c r="CN201" s="12"/>
      <c r="CO201" s="12"/>
      <c r="CT201"/>
      <c r="CV201" s="12"/>
      <c r="CW201" s="12"/>
      <c r="CZ201" s="12"/>
      <c r="DA201" s="12"/>
      <c r="DC201" s="12"/>
      <c r="DD201" s="12"/>
      <c r="DF201" s="17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X201" s="9"/>
      <c r="EY201" s="9"/>
      <c r="EZ201" s="9"/>
      <c r="FA201" s="15"/>
      <c r="FB201" s="14"/>
      <c r="FC201" s="10"/>
      <c r="FD201" s="10"/>
      <c r="FE201" s="10"/>
      <c r="FF201" s="10"/>
      <c r="FG201" s="10"/>
      <c r="FH201" s="10"/>
    </row>
    <row r="202" spans="2:164" x14ac:dyDescent="0.25">
      <c r="B202"/>
      <c r="C202"/>
      <c r="D202"/>
      <c r="E202"/>
      <c r="F202" s="16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 s="16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 s="12"/>
      <c r="AK202" s="12"/>
      <c r="AL202" s="17"/>
      <c r="AN202" s="17"/>
      <c r="AP202" s="17"/>
      <c r="AQ202" s="12"/>
      <c r="AR202" s="12"/>
      <c r="AT202" s="17"/>
      <c r="AU202" s="12"/>
      <c r="AV202" s="12"/>
      <c r="AW202" s="17"/>
      <c r="AX202" s="12"/>
      <c r="AY202" s="12"/>
      <c r="BA202" s="12"/>
      <c r="BB202" s="12"/>
      <c r="BC202" s="17"/>
      <c r="BD202" s="12"/>
      <c r="BE202" s="12"/>
      <c r="BG202" s="12"/>
      <c r="BH202" s="12"/>
      <c r="BJ202" s="12"/>
      <c r="BK202" s="12"/>
      <c r="BM202" s="12"/>
      <c r="BN202" s="12"/>
      <c r="BO202" s="17"/>
      <c r="BQ202" s="12"/>
      <c r="BR202" s="12"/>
      <c r="BU202" s="12"/>
      <c r="BV202" s="12"/>
      <c r="BW202" s="17"/>
      <c r="BX202" s="17"/>
      <c r="BY202" s="12"/>
      <c r="BZ202" s="12"/>
      <c r="CC202" s="12"/>
      <c r="CD202" s="12"/>
      <c r="CE202"/>
      <c r="CG202" s="12"/>
      <c r="CH202" s="12"/>
      <c r="CI202" s="17"/>
      <c r="CJ202" s="12"/>
      <c r="CK202" s="12"/>
      <c r="CN202" s="12"/>
      <c r="CO202" s="12"/>
      <c r="CT202"/>
      <c r="CV202" s="12"/>
      <c r="CW202" s="12"/>
      <c r="CZ202" s="12"/>
      <c r="DA202" s="12"/>
      <c r="DC202" s="12"/>
      <c r="DD202" s="12"/>
      <c r="DF202" s="17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X202" s="9"/>
      <c r="EY202" s="9"/>
      <c r="EZ202" s="9"/>
      <c r="FA202" s="15"/>
      <c r="FB202" s="14"/>
      <c r="FC202" s="10"/>
      <c r="FD202" s="10"/>
      <c r="FE202" s="10"/>
      <c r="FF202" s="10"/>
      <c r="FG202" s="10"/>
      <c r="FH202" s="10"/>
    </row>
    <row r="203" spans="2:164" x14ac:dyDescent="0.25">
      <c r="B203"/>
      <c r="C203"/>
      <c r="D203"/>
      <c r="E203"/>
      <c r="F203" s="16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 s="16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 s="12"/>
      <c r="AK203" s="12"/>
      <c r="AL203" s="17"/>
      <c r="AN203" s="17"/>
      <c r="AP203" s="17"/>
      <c r="AQ203" s="12"/>
      <c r="AR203" s="12"/>
      <c r="AT203" s="17"/>
      <c r="AU203" s="12"/>
      <c r="AV203" s="12"/>
      <c r="AW203" s="17"/>
      <c r="AX203" s="12"/>
      <c r="AY203" s="12"/>
      <c r="BA203" s="12"/>
      <c r="BB203" s="12"/>
      <c r="BC203" s="17"/>
      <c r="BD203" s="12"/>
      <c r="BE203" s="12"/>
      <c r="BG203" s="12"/>
      <c r="BH203" s="12"/>
      <c r="BJ203" s="12"/>
      <c r="BK203" s="12"/>
      <c r="BM203" s="12"/>
      <c r="BN203" s="12"/>
      <c r="BO203" s="17"/>
      <c r="BQ203" s="12"/>
      <c r="BR203" s="12"/>
      <c r="BU203" s="12"/>
      <c r="BV203" s="12"/>
      <c r="BY203" s="12"/>
      <c r="BZ203" s="12"/>
      <c r="CC203" s="12"/>
      <c r="CD203" s="12"/>
      <c r="CE203"/>
      <c r="CG203" s="12"/>
      <c r="CH203" s="12"/>
      <c r="CI203" s="17"/>
      <c r="CJ203" s="12"/>
      <c r="CK203" s="12"/>
      <c r="CN203" s="12"/>
      <c r="CO203" s="12"/>
      <c r="CT203"/>
      <c r="CV203" s="12"/>
      <c r="CW203" s="12"/>
      <c r="CZ203" s="12"/>
      <c r="DA203" s="12"/>
      <c r="DB203" s="17"/>
      <c r="DC203" s="12"/>
      <c r="DD203" s="12"/>
      <c r="DE203" s="17"/>
      <c r="DF203" s="17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X203" s="9"/>
      <c r="EY203" s="9"/>
      <c r="EZ203" s="9"/>
      <c r="FA203" s="15"/>
      <c r="FB203" s="14"/>
      <c r="FC203" s="10"/>
      <c r="FD203" s="10"/>
      <c r="FE203" s="10"/>
      <c r="FF203" s="10"/>
      <c r="FG203" s="10"/>
      <c r="FH203" s="10"/>
    </row>
    <row r="204" spans="2:164" x14ac:dyDescent="0.25">
      <c r="B204"/>
      <c r="C204"/>
      <c r="D204"/>
      <c r="E204"/>
      <c r="F204" s="16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 s="16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 s="12"/>
      <c r="AK204" s="12"/>
      <c r="AL204" s="17"/>
      <c r="AN204" s="17"/>
      <c r="AP204" s="17"/>
      <c r="AQ204" s="12"/>
      <c r="AR204" s="12"/>
      <c r="AT204" s="17"/>
      <c r="AU204" s="12"/>
      <c r="AV204" s="12"/>
      <c r="AW204" s="17"/>
      <c r="AX204" s="12"/>
      <c r="AY204" s="12"/>
      <c r="BA204" s="12"/>
      <c r="BB204" s="12"/>
      <c r="BC204" s="17"/>
      <c r="BD204" s="12"/>
      <c r="BE204" s="12"/>
      <c r="BG204" s="12"/>
      <c r="BH204" s="12"/>
      <c r="BJ204" s="12"/>
      <c r="BK204" s="12"/>
      <c r="BM204" s="12"/>
      <c r="BN204" s="12"/>
      <c r="BO204" s="17"/>
      <c r="BQ204" s="12"/>
      <c r="BR204" s="12"/>
      <c r="BU204" s="12"/>
      <c r="BV204" s="12"/>
      <c r="BY204" s="12"/>
      <c r="BZ204" s="12"/>
      <c r="CC204" s="12"/>
      <c r="CD204" s="12"/>
      <c r="CE204"/>
      <c r="CG204" s="12"/>
      <c r="CH204" s="12"/>
      <c r="CJ204" s="12"/>
      <c r="CK204" s="12"/>
      <c r="CN204" s="12"/>
      <c r="CO204" s="12"/>
      <c r="CT204"/>
      <c r="CV204" s="12"/>
      <c r="CW204" s="12"/>
      <c r="CZ204" s="12"/>
      <c r="DA204" s="12"/>
      <c r="DC204" s="12"/>
      <c r="DD204" s="12"/>
      <c r="DF204" s="17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X204" s="9"/>
      <c r="EY204" s="9"/>
      <c r="EZ204" s="9"/>
      <c r="FA204" s="15"/>
      <c r="FB204" s="14"/>
      <c r="FC204" s="10"/>
      <c r="FD204" s="10"/>
      <c r="FE204" s="10"/>
      <c r="FF204" s="10"/>
      <c r="FG204" s="10"/>
      <c r="FH204" s="10"/>
    </row>
    <row r="205" spans="2:164" x14ac:dyDescent="0.25">
      <c r="B205"/>
      <c r="C205"/>
      <c r="D205"/>
      <c r="E205"/>
      <c r="F205" s="16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 s="16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 s="12"/>
      <c r="AK205" s="12"/>
      <c r="AL205" s="17"/>
      <c r="AN205" s="17"/>
      <c r="AP205" s="17"/>
      <c r="AQ205" s="12"/>
      <c r="AR205" s="12"/>
      <c r="AT205" s="17"/>
      <c r="AU205" s="12"/>
      <c r="AV205" s="12"/>
      <c r="AW205" s="17"/>
      <c r="AX205" s="12"/>
      <c r="AY205" s="12"/>
      <c r="BA205" s="12"/>
      <c r="BB205" s="12"/>
      <c r="BC205" s="17"/>
      <c r="BD205" s="12"/>
      <c r="BE205" s="12"/>
      <c r="BG205" s="12"/>
      <c r="BH205" s="12"/>
      <c r="BJ205" s="12"/>
      <c r="BK205" s="12"/>
      <c r="BM205" s="12"/>
      <c r="BN205" s="12"/>
      <c r="BO205" s="17"/>
      <c r="BQ205" s="12"/>
      <c r="BR205" s="12"/>
      <c r="BU205" s="12"/>
      <c r="BV205" s="12"/>
      <c r="BW205" s="17"/>
      <c r="BX205" s="17"/>
      <c r="BY205" s="12"/>
      <c r="BZ205" s="12"/>
      <c r="CC205" s="12"/>
      <c r="CD205" s="12"/>
      <c r="CE205"/>
      <c r="CG205" s="12"/>
      <c r="CH205" s="12"/>
      <c r="CI205" s="17"/>
      <c r="CJ205" s="12"/>
      <c r="CK205" s="12"/>
      <c r="CN205" s="12"/>
      <c r="CO205" s="12"/>
      <c r="CT205"/>
      <c r="CV205" s="12"/>
      <c r="CW205" s="12"/>
      <c r="CZ205" s="12"/>
      <c r="DA205" s="12"/>
      <c r="DC205" s="12"/>
      <c r="DD205" s="12"/>
      <c r="DE205" s="17"/>
      <c r="DF205" s="17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X205" s="9"/>
      <c r="EY205" s="9"/>
      <c r="EZ205" s="9"/>
      <c r="FA205" s="15"/>
      <c r="FB205" s="14"/>
      <c r="FC205" s="10"/>
      <c r="FD205" s="10"/>
      <c r="FE205" s="10"/>
      <c r="FF205" s="10"/>
      <c r="FG205" s="10"/>
      <c r="FH205" s="10"/>
    </row>
    <row r="206" spans="2:164" x14ac:dyDescent="0.25">
      <c r="B206"/>
      <c r="C206"/>
      <c r="D206"/>
      <c r="E206"/>
      <c r="F206" s="1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 s="1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 s="12"/>
      <c r="AK206" s="12"/>
      <c r="AL206" s="17"/>
      <c r="AN206" s="17"/>
      <c r="AP206" s="17"/>
      <c r="AQ206" s="12"/>
      <c r="AR206" s="12"/>
      <c r="AT206" s="17"/>
      <c r="AU206" s="12"/>
      <c r="AV206" s="12"/>
      <c r="AW206" s="17"/>
      <c r="AX206" s="12"/>
      <c r="AY206" s="12"/>
      <c r="BA206" s="12"/>
      <c r="BB206" s="12"/>
      <c r="BC206" s="17"/>
      <c r="BD206" s="12"/>
      <c r="BE206" s="12"/>
      <c r="BG206" s="12"/>
      <c r="BH206" s="12"/>
      <c r="BJ206" s="12"/>
      <c r="BK206" s="12"/>
      <c r="BM206" s="12"/>
      <c r="BN206" s="12"/>
      <c r="BO206" s="17"/>
      <c r="BQ206" s="12"/>
      <c r="BR206" s="12"/>
      <c r="BU206" s="12"/>
      <c r="BV206" s="12"/>
      <c r="BY206" s="12"/>
      <c r="BZ206" s="12"/>
      <c r="CA206" s="17"/>
      <c r="CB206" s="17"/>
      <c r="CC206" s="12"/>
      <c r="CD206" s="12"/>
      <c r="CE206"/>
      <c r="CG206" s="12"/>
      <c r="CH206" s="12"/>
      <c r="CJ206" s="12"/>
      <c r="CK206" s="12"/>
      <c r="CN206" s="12"/>
      <c r="CO206" s="12"/>
      <c r="CT206"/>
      <c r="CV206" s="12"/>
      <c r="CW206" s="12"/>
      <c r="CZ206" s="12"/>
      <c r="DA206" s="12"/>
      <c r="DC206" s="12"/>
      <c r="DD206" s="12"/>
      <c r="DF206" s="17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X206" s="9"/>
      <c r="EY206" s="9"/>
      <c r="EZ206" s="9"/>
      <c r="FA206" s="15"/>
      <c r="FB206" s="14"/>
      <c r="FC206" s="10"/>
      <c r="FD206" s="10"/>
      <c r="FE206" s="10"/>
      <c r="FF206" s="10"/>
      <c r="FG206" s="10"/>
      <c r="FH206" s="10"/>
    </row>
    <row r="207" spans="2:164" x14ac:dyDescent="0.25">
      <c r="B207"/>
      <c r="C207"/>
      <c r="D207"/>
      <c r="E207"/>
      <c r="F207" s="16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 s="16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 s="12"/>
      <c r="AK207" s="12"/>
      <c r="AL207" s="17"/>
      <c r="AN207" s="17"/>
      <c r="AP207" s="17"/>
      <c r="AQ207" s="12"/>
      <c r="AR207" s="12"/>
      <c r="AT207" s="17"/>
      <c r="AU207" s="12"/>
      <c r="AV207" s="12"/>
      <c r="AW207" s="17"/>
      <c r="AX207" s="12"/>
      <c r="AY207" s="12"/>
      <c r="BA207" s="12"/>
      <c r="BB207" s="12"/>
      <c r="BC207" s="17"/>
      <c r="BD207" s="12"/>
      <c r="BE207" s="12"/>
      <c r="BG207" s="12"/>
      <c r="BH207" s="12"/>
      <c r="BJ207" s="12"/>
      <c r="BK207" s="12"/>
      <c r="BM207" s="12"/>
      <c r="BN207" s="12"/>
      <c r="BO207" s="17"/>
      <c r="BQ207" s="12"/>
      <c r="BR207" s="12"/>
      <c r="BS207" s="17"/>
      <c r="BT207" s="17"/>
      <c r="BU207" s="12"/>
      <c r="BV207" s="12"/>
      <c r="BY207" s="12"/>
      <c r="BZ207" s="12"/>
      <c r="CC207" s="12"/>
      <c r="CD207" s="12"/>
      <c r="CE207"/>
      <c r="CG207" s="12"/>
      <c r="CH207" s="12"/>
      <c r="CI207" s="17"/>
      <c r="CJ207" s="12"/>
      <c r="CK207" s="12"/>
      <c r="CN207" s="12"/>
      <c r="CO207" s="12"/>
      <c r="CT207"/>
      <c r="CV207" s="12"/>
      <c r="CW207" s="12"/>
      <c r="CZ207" s="12"/>
      <c r="DA207" s="12"/>
      <c r="DB207" s="17"/>
      <c r="DC207" s="12"/>
      <c r="DD207" s="12"/>
      <c r="DE207" s="17"/>
      <c r="DF207" s="1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X207" s="9"/>
      <c r="EY207" s="9"/>
      <c r="EZ207" s="9"/>
      <c r="FA207" s="15"/>
      <c r="FB207" s="14"/>
      <c r="FC207" s="10"/>
      <c r="FD207" s="10"/>
      <c r="FE207" s="10"/>
      <c r="FF207" s="10"/>
      <c r="FG207" s="10"/>
      <c r="FH207" s="10"/>
    </row>
    <row r="208" spans="2:164" x14ac:dyDescent="0.25">
      <c r="B208"/>
      <c r="C208"/>
      <c r="D208"/>
      <c r="E208"/>
      <c r="F208" s="16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 s="16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 s="12"/>
      <c r="AK208" s="12"/>
      <c r="AL208" s="17"/>
      <c r="AN208" s="17"/>
      <c r="AP208" s="17"/>
      <c r="AQ208" s="12"/>
      <c r="AR208" s="12"/>
      <c r="AT208" s="17"/>
      <c r="AU208" s="12"/>
      <c r="AV208" s="12"/>
      <c r="AW208" s="17"/>
      <c r="AX208" s="12"/>
      <c r="AY208" s="12"/>
      <c r="BA208" s="12"/>
      <c r="BB208" s="12"/>
      <c r="BC208" s="17"/>
      <c r="BD208" s="12"/>
      <c r="BE208" s="12"/>
      <c r="BG208" s="12"/>
      <c r="BH208" s="12"/>
      <c r="BJ208" s="12"/>
      <c r="BK208" s="12"/>
      <c r="BM208" s="12"/>
      <c r="BN208" s="12"/>
      <c r="BO208" s="17"/>
      <c r="BQ208" s="12"/>
      <c r="BR208" s="12"/>
      <c r="BU208" s="12"/>
      <c r="BV208" s="12"/>
      <c r="BY208" s="12"/>
      <c r="BZ208" s="12"/>
      <c r="CC208" s="12"/>
      <c r="CD208" s="12"/>
      <c r="CE208"/>
      <c r="CG208" s="12"/>
      <c r="CH208" s="12"/>
      <c r="CJ208" s="12"/>
      <c r="CK208" s="12"/>
      <c r="CN208" s="12"/>
      <c r="CO208" s="12"/>
      <c r="CT208"/>
      <c r="CV208" s="12"/>
      <c r="CW208" s="12"/>
      <c r="CZ208" s="12"/>
      <c r="DA208" s="12"/>
      <c r="DC208" s="12"/>
      <c r="DD208" s="12"/>
      <c r="DE208" s="17"/>
      <c r="DF208" s="17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X208" s="9"/>
      <c r="EY208" s="9"/>
      <c r="EZ208" s="9"/>
      <c r="FA208" s="15"/>
      <c r="FB208" s="14"/>
      <c r="FC208" s="10"/>
      <c r="FD208" s="10"/>
      <c r="FE208" s="10"/>
      <c r="FF208" s="10"/>
      <c r="FG208" s="10"/>
      <c r="FH208" s="10"/>
    </row>
    <row r="209" spans="2:164" x14ac:dyDescent="0.25">
      <c r="B209"/>
      <c r="C209"/>
      <c r="D209"/>
      <c r="E209"/>
      <c r="F209" s="16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 s="16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 s="12"/>
      <c r="AK209" s="12"/>
      <c r="AL209" s="17"/>
      <c r="AN209" s="17"/>
      <c r="AP209" s="17"/>
      <c r="AQ209" s="12"/>
      <c r="AR209" s="12"/>
      <c r="AT209" s="17"/>
      <c r="AU209" s="12"/>
      <c r="AV209" s="12"/>
      <c r="AW209" s="17"/>
      <c r="AX209" s="12"/>
      <c r="AY209" s="12"/>
      <c r="BA209" s="12"/>
      <c r="BB209" s="12"/>
      <c r="BC209" s="17"/>
      <c r="BD209" s="12"/>
      <c r="BE209" s="12"/>
      <c r="BG209" s="12"/>
      <c r="BH209" s="12"/>
      <c r="BJ209" s="12"/>
      <c r="BK209" s="12"/>
      <c r="BM209" s="12"/>
      <c r="BN209" s="12"/>
      <c r="BO209" s="17"/>
      <c r="BQ209" s="12"/>
      <c r="BR209" s="12"/>
      <c r="BU209" s="12"/>
      <c r="BV209" s="12"/>
      <c r="BY209" s="12"/>
      <c r="BZ209" s="12"/>
      <c r="CA209" s="17"/>
      <c r="CB209" s="17"/>
      <c r="CC209" s="12"/>
      <c r="CD209" s="12"/>
      <c r="CE209"/>
      <c r="CG209" s="12"/>
      <c r="CH209" s="12"/>
      <c r="CJ209" s="12"/>
      <c r="CK209" s="12"/>
      <c r="CN209" s="12"/>
      <c r="CO209" s="12"/>
      <c r="CT209"/>
      <c r="CV209" s="12"/>
      <c r="CW209" s="12"/>
      <c r="CZ209" s="12"/>
      <c r="DA209" s="12"/>
      <c r="DC209" s="12"/>
      <c r="DD209" s="12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X209" s="9"/>
      <c r="EY209" s="9"/>
      <c r="EZ209" s="9"/>
      <c r="FA209" s="15"/>
      <c r="FB209" s="14"/>
      <c r="FC209" s="10"/>
      <c r="FD209" s="10"/>
      <c r="FE209" s="10"/>
      <c r="FF209" s="10"/>
      <c r="FG209" s="10"/>
      <c r="FH209" s="10"/>
    </row>
    <row r="210" spans="2:164" x14ac:dyDescent="0.25">
      <c r="B210"/>
      <c r="C210"/>
      <c r="D210"/>
      <c r="E210"/>
      <c r="F210" s="16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 s="16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 s="12"/>
      <c r="AK210" s="12"/>
      <c r="AL210" s="17"/>
      <c r="AN210" s="17"/>
      <c r="AP210" s="17"/>
      <c r="AQ210" s="12"/>
      <c r="AR210" s="12"/>
      <c r="AT210" s="17"/>
      <c r="AU210" s="12"/>
      <c r="AV210" s="12"/>
      <c r="AW210" s="17"/>
      <c r="AX210" s="12"/>
      <c r="AY210" s="12"/>
      <c r="BA210" s="12"/>
      <c r="BB210" s="12"/>
      <c r="BC210" s="17"/>
      <c r="BD210" s="12"/>
      <c r="BE210" s="12"/>
      <c r="BG210" s="12"/>
      <c r="BH210" s="12"/>
      <c r="BJ210" s="12"/>
      <c r="BK210" s="12"/>
      <c r="BM210" s="12"/>
      <c r="BN210" s="12"/>
      <c r="BO210" s="17"/>
      <c r="BQ210" s="12"/>
      <c r="BR210" s="12"/>
      <c r="BU210" s="12"/>
      <c r="BV210" s="12"/>
      <c r="BY210" s="12"/>
      <c r="BZ210" s="12"/>
      <c r="CC210" s="12"/>
      <c r="CD210" s="12"/>
      <c r="CE210"/>
      <c r="CG210" s="12"/>
      <c r="CH210" s="12"/>
      <c r="CJ210" s="12"/>
      <c r="CK210" s="12"/>
      <c r="CN210" s="12"/>
      <c r="CO210" s="12"/>
      <c r="CT210"/>
      <c r="CV210" s="12"/>
      <c r="CW210" s="12"/>
      <c r="CZ210" s="12"/>
      <c r="DA210" s="12"/>
      <c r="DC210" s="12"/>
      <c r="DD210" s="12"/>
      <c r="DF210" s="17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X210" s="9"/>
      <c r="EY210" s="9"/>
      <c r="EZ210" s="9"/>
      <c r="FA210" s="15"/>
      <c r="FB210" s="14"/>
      <c r="FC210" s="10"/>
      <c r="FD210" s="10"/>
      <c r="FE210" s="10"/>
      <c r="FF210" s="10"/>
      <c r="FG210" s="10"/>
      <c r="FH210" s="10"/>
    </row>
    <row r="211" spans="2:164" x14ac:dyDescent="0.25">
      <c r="B211"/>
      <c r="C211"/>
      <c r="D211"/>
      <c r="E211"/>
      <c r="F211" s="16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 s="16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 s="12"/>
      <c r="AK211" s="12"/>
      <c r="AL211" s="17"/>
      <c r="AN211" s="17"/>
      <c r="AP211" s="17"/>
      <c r="AQ211" s="12"/>
      <c r="AR211" s="12"/>
      <c r="AT211" s="17"/>
      <c r="AU211" s="12"/>
      <c r="AV211" s="12"/>
      <c r="AW211" s="17"/>
      <c r="AX211" s="12"/>
      <c r="AY211" s="12"/>
      <c r="BA211" s="12"/>
      <c r="BB211" s="12"/>
      <c r="BC211" s="17"/>
      <c r="BD211" s="12"/>
      <c r="BE211" s="12"/>
      <c r="BG211" s="12"/>
      <c r="BH211" s="12"/>
      <c r="BJ211" s="12"/>
      <c r="BK211" s="12"/>
      <c r="BM211" s="12"/>
      <c r="BN211" s="12"/>
      <c r="BO211" s="17"/>
      <c r="BQ211" s="12"/>
      <c r="BR211" s="12"/>
      <c r="BU211" s="12"/>
      <c r="BV211" s="12"/>
      <c r="BW211" s="17"/>
      <c r="BX211" s="17"/>
      <c r="BY211" s="12"/>
      <c r="BZ211" s="12"/>
      <c r="CC211" s="12"/>
      <c r="CD211" s="12"/>
      <c r="CE211"/>
      <c r="CG211" s="12"/>
      <c r="CH211" s="12"/>
      <c r="CJ211" s="12"/>
      <c r="CK211" s="12"/>
      <c r="CL211" s="17"/>
      <c r="CM211" s="17"/>
      <c r="CN211" s="12"/>
      <c r="CO211" s="12"/>
      <c r="CT211"/>
      <c r="CV211" s="12"/>
      <c r="CW211" s="12"/>
      <c r="CZ211" s="12"/>
      <c r="DA211" s="12"/>
      <c r="DC211" s="12"/>
      <c r="DD211" s="12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X211" s="9"/>
      <c r="EY211" s="9"/>
      <c r="EZ211" s="9"/>
      <c r="FA211" s="15"/>
      <c r="FB211" s="14"/>
      <c r="FC211" s="10"/>
      <c r="FD211" s="10"/>
      <c r="FE211" s="10"/>
      <c r="FF211" s="10"/>
      <c r="FG211" s="10"/>
      <c r="FH211" s="10"/>
    </row>
    <row r="212" spans="2:164" x14ac:dyDescent="0.25">
      <c r="B212"/>
      <c r="C212"/>
      <c r="D212"/>
      <c r="E212"/>
      <c r="F212" s="16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 s="16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 s="12"/>
      <c r="AK212" s="12"/>
      <c r="AL212" s="17"/>
      <c r="AN212" s="17"/>
      <c r="AP212" s="17"/>
      <c r="AQ212" s="12"/>
      <c r="AR212" s="12"/>
      <c r="AT212" s="17"/>
      <c r="AU212" s="12"/>
      <c r="AV212" s="12"/>
      <c r="AW212" s="17"/>
      <c r="AX212" s="12"/>
      <c r="AY212" s="12"/>
      <c r="BA212" s="12"/>
      <c r="BB212" s="12"/>
      <c r="BC212" s="17"/>
      <c r="BD212" s="12"/>
      <c r="BE212" s="12"/>
      <c r="BG212" s="12"/>
      <c r="BH212" s="12"/>
      <c r="BJ212" s="12"/>
      <c r="BK212" s="12"/>
      <c r="BM212" s="12"/>
      <c r="BN212" s="12"/>
      <c r="BO212" s="17"/>
      <c r="BQ212" s="12"/>
      <c r="BR212" s="12"/>
      <c r="BU212" s="12"/>
      <c r="BV212" s="12"/>
      <c r="BY212" s="12"/>
      <c r="BZ212" s="12"/>
      <c r="CC212" s="12"/>
      <c r="CD212" s="12"/>
      <c r="CE212"/>
      <c r="CG212" s="12"/>
      <c r="CH212" s="12"/>
      <c r="CJ212" s="12"/>
      <c r="CK212" s="12"/>
      <c r="CN212" s="12"/>
      <c r="CO212" s="12"/>
      <c r="CT212"/>
      <c r="CV212" s="12"/>
      <c r="CW212" s="12"/>
      <c r="CZ212" s="12"/>
      <c r="DA212" s="12"/>
      <c r="DB212" s="17"/>
      <c r="DC212" s="12"/>
      <c r="DD212" s="12"/>
      <c r="DF212" s="17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X212" s="9"/>
      <c r="EY212" s="9"/>
      <c r="EZ212" s="9"/>
      <c r="FA212" s="15"/>
      <c r="FB212" s="14"/>
      <c r="FC212" s="10"/>
      <c r="FD212" s="10"/>
      <c r="FE212" s="10"/>
      <c r="FF212" s="10"/>
      <c r="FG212" s="10"/>
      <c r="FH212" s="10"/>
    </row>
    <row r="213" spans="2:164" x14ac:dyDescent="0.25">
      <c r="B213"/>
      <c r="C213"/>
      <c r="D213"/>
      <c r="E213"/>
      <c r="F213" s="16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 s="16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 s="12"/>
      <c r="AK213" s="12"/>
      <c r="AL213" s="17"/>
      <c r="AN213" s="17"/>
      <c r="AP213" s="17"/>
      <c r="AQ213" s="12"/>
      <c r="AR213" s="12"/>
      <c r="AT213" s="17"/>
      <c r="AU213" s="12"/>
      <c r="AV213" s="12"/>
      <c r="AW213" s="17"/>
      <c r="AX213" s="12"/>
      <c r="AY213" s="12"/>
      <c r="BA213" s="12"/>
      <c r="BB213" s="12"/>
      <c r="BC213" s="17"/>
      <c r="BD213" s="12"/>
      <c r="BE213" s="12"/>
      <c r="BG213" s="12"/>
      <c r="BH213" s="12"/>
      <c r="BJ213" s="12"/>
      <c r="BK213" s="12"/>
      <c r="BM213" s="12"/>
      <c r="BN213" s="12"/>
      <c r="BO213" s="17"/>
      <c r="BQ213" s="12"/>
      <c r="BR213" s="12"/>
      <c r="BU213" s="12"/>
      <c r="BV213" s="12"/>
      <c r="BY213" s="12"/>
      <c r="BZ213" s="12"/>
      <c r="CA213" s="17"/>
      <c r="CB213" s="17"/>
      <c r="CC213" s="12"/>
      <c r="CD213" s="12"/>
      <c r="CE213"/>
      <c r="CG213" s="12"/>
      <c r="CH213" s="12"/>
      <c r="CJ213" s="12"/>
      <c r="CK213" s="12"/>
      <c r="CN213" s="12"/>
      <c r="CO213" s="12"/>
      <c r="CT213"/>
      <c r="CV213" s="12"/>
      <c r="CW213" s="12"/>
      <c r="CZ213" s="12"/>
      <c r="DA213" s="12"/>
      <c r="DB213" s="17"/>
      <c r="DC213" s="12"/>
      <c r="DD213" s="12"/>
      <c r="DF213" s="17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X213" s="9"/>
      <c r="EY213" s="9"/>
      <c r="EZ213" s="9"/>
      <c r="FA213" s="15"/>
      <c r="FB213" s="14"/>
      <c r="FC213" s="10"/>
      <c r="FD213" s="10"/>
      <c r="FE213" s="10"/>
      <c r="FF213" s="10"/>
      <c r="FG213" s="10"/>
      <c r="FH213" s="10"/>
    </row>
    <row r="214" spans="2:164" x14ac:dyDescent="0.25">
      <c r="B214"/>
      <c r="C214"/>
      <c r="D214"/>
      <c r="E214"/>
      <c r="F214" s="16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 s="16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 s="12"/>
      <c r="AK214" s="12"/>
      <c r="AL214" s="17"/>
      <c r="AN214" s="17"/>
      <c r="AP214" s="17"/>
      <c r="AQ214" s="12"/>
      <c r="AR214" s="12"/>
      <c r="AT214" s="17"/>
      <c r="AU214" s="12"/>
      <c r="AV214" s="12"/>
      <c r="AW214" s="17"/>
      <c r="AX214" s="12"/>
      <c r="AY214" s="12"/>
      <c r="BA214" s="12"/>
      <c r="BB214" s="12"/>
      <c r="BC214" s="17"/>
      <c r="BD214" s="12"/>
      <c r="BE214" s="12"/>
      <c r="BG214" s="12"/>
      <c r="BH214" s="12"/>
      <c r="BJ214" s="12"/>
      <c r="BK214" s="12"/>
      <c r="BM214" s="12"/>
      <c r="BN214" s="12"/>
      <c r="BO214" s="17"/>
      <c r="BQ214" s="12"/>
      <c r="BR214" s="12"/>
      <c r="BU214" s="12"/>
      <c r="BV214" s="12"/>
      <c r="BW214" s="17"/>
      <c r="BX214" s="17"/>
      <c r="BY214" s="12"/>
      <c r="BZ214" s="12"/>
      <c r="CC214" s="12"/>
      <c r="CD214" s="12"/>
      <c r="CE214"/>
      <c r="CG214" s="12"/>
      <c r="CH214" s="12"/>
      <c r="CI214" s="17"/>
      <c r="CJ214" s="12"/>
      <c r="CK214" s="12"/>
      <c r="CN214" s="12"/>
      <c r="CO214" s="12"/>
      <c r="CT214"/>
      <c r="CV214" s="12"/>
      <c r="CW214" s="12"/>
      <c r="CZ214" s="12"/>
      <c r="DA214" s="12"/>
      <c r="DC214" s="12"/>
      <c r="DD214" s="12"/>
      <c r="DE214" s="17"/>
      <c r="DF214" s="17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X214" s="9"/>
      <c r="EY214" s="9"/>
      <c r="EZ214" s="9"/>
      <c r="FA214" s="15"/>
      <c r="FB214" s="14"/>
      <c r="FC214" s="10"/>
      <c r="FD214" s="10"/>
      <c r="FE214" s="10"/>
      <c r="FF214" s="10"/>
      <c r="FG214" s="10"/>
      <c r="FH214" s="10"/>
    </row>
    <row r="215" spans="2:164" x14ac:dyDescent="0.25">
      <c r="B215"/>
      <c r="C215"/>
      <c r="D215"/>
      <c r="E215"/>
      <c r="F215" s="16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 s="16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 s="12"/>
      <c r="AK215" s="12"/>
      <c r="AL215" s="17"/>
      <c r="AN215" s="17"/>
      <c r="AP215" s="17"/>
      <c r="AQ215" s="12"/>
      <c r="AR215" s="12"/>
      <c r="AT215" s="17"/>
      <c r="AU215" s="12"/>
      <c r="AV215" s="12"/>
      <c r="AW215" s="17"/>
      <c r="AX215" s="12"/>
      <c r="AY215" s="12"/>
      <c r="BA215" s="12"/>
      <c r="BB215" s="12"/>
      <c r="BD215" s="12"/>
      <c r="BE215" s="12"/>
      <c r="BF215" s="17"/>
      <c r="BG215" s="12"/>
      <c r="BH215" s="12"/>
      <c r="BJ215" s="12"/>
      <c r="BK215" s="12"/>
      <c r="BM215" s="12"/>
      <c r="BN215" s="12"/>
      <c r="BO215" s="17"/>
      <c r="BQ215" s="12"/>
      <c r="BR215" s="12"/>
      <c r="BU215" s="12"/>
      <c r="BV215" s="12"/>
      <c r="BY215" s="12"/>
      <c r="BZ215" s="12"/>
      <c r="CC215" s="12"/>
      <c r="CD215" s="12"/>
      <c r="CE215"/>
      <c r="CG215" s="12"/>
      <c r="CH215" s="12"/>
      <c r="CJ215" s="12"/>
      <c r="CK215" s="12"/>
      <c r="CN215" s="12"/>
      <c r="CO215" s="12"/>
      <c r="CT215"/>
      <c r="CV215" s="12"/>
      <c r="CW215" s="12"/>
      <c r="CZ215" s="12"/>
      <c r="DA215" s="12"/>
      <c r="DC215" s="12"/>
      <c r="DD215" s="12"/>
      <c r="DF215" s="17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X215" s="9"/>
      <c r="EY215" s="9"/>
      <c r="EZ215" s="9"/>
      <c r="FA215" s="15"/>
      <c r="FB215" s="14"/>
      <c r="FC215" s="10"/>
      <c r="FD215" s="10"/>
      <c r="FE215" s="10"/>
      <c r="FF215" s="10"/>
      <c r="FG215" s="10"/>
      <c r="FH215" s="10"/>
    </row>
    <row r="216" spans="2:164" x14ac:dyDescent="0.25">
      <c r="B216"/>
      <c r="C216"/>
      <c r="D216"/>
      <c r="E216"/>
      <c r="F216" s="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 s="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 s="12"/>
      <c r="AK216" s="12"/>
      <c r="AL216" s="17"/>
      <c r="AN216" s="17"/>
      <c r="AP216" s="17"/>
      <c r="AQ216" s="12"/>
      <c r="AR216" s="12"/>
      <c r="AT216" s="17"/>
      <c r="AU216" s="12"/>
      <c r="AV216" s="12"/>
      <c r="AW216" s="17"/>
      <c r="AX216" s="12"/>
      <c r="AY216" s="12"/>
      <c r="BA216" s="12"/>
      <c r="BB216" s="12"/>
      <c r="BC216" s="17"/>
      <c r="BD216" s="12"/>
      <c r="BE216" s="12"/>
      <c r="BG216" s="12"/>
      <c r="BH216" s="12"/>
      <c r="BJ216" s="12"/>
      <c r="BK216" s="12"/>
      <c r="BM216" s="12"/>
      <c r="BN216" s="12"/>
      <c r="BO216" s="17"/>
      <c r="BQ216" s="12"/>
      <c r="BR216" s="12"/>
      <c r="BS216" s="17"/>
      <c r="BT216" s="17"/>
      <c r="BU216" s="12"/>
      <c r="BV216" s="12"/>
      <c r="BY216" s="12"/>
      <c r="BZ216" s="12"/>
      <c r="CC216" s="12"/>
      <c r="CD216" s="12"/>
      <c r="CE216"/>
      <c r="CG216" s="12"/>
      <c r="CH216" s="12"/>
      <c r="CJ216" s="12"/>
      <c r="CK216" s="12"/>
      <c r="CL216" s="17"/>
      <c r="CM216" s="17"/>
      <c r="CN216" s="12"/>
      <c r="CO216" s="12"/>
      <c r="CT216"/>
      <c r="CV216" s="12"/>
      <c r="CW216" s="12"/>
      <c r="CZ216" s="12"/>
      <c r="DA216" s="12"/>
      <c r="DC216" s="12"/>
      <c r="DD216" s="12"/>
      <c r="DF216" s="17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X216" s="9"/>
      <c r="EY216" s="9"/>
      <c r="EZ216" s="9"/>
      <c r="FA216" s="15"/>
      <c r="FB216" s="14"/>
      <c r="FC216" s="10"/>
      <c r="FD216" s="10"/>
      <c r="FE216" s="10"/>
      <c r="FF216" s="10"/>
      <c r="FG216" s="10"/>
      <c r="FH216" s="10"/>
    </row>
    <row r="217" spans="2:164" x14ac:dyDescent="0.25">
      <c r="B217"/>
      <c r="C217"/>
      <c r="D217"/>
      <c r="E217"/>
      <c r="F217" s="16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 s="16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 s="12"/>
      <c r="AK217" s="12"/>
      <c r="AL217" s="17"/>
      <c r="AN217" s="17"/>
      <c r="AP217" s="17"/>
      <c r="AQ217" s="12"/>
      <c r="AR217" s="12"/>
      <c r="AT217" s="17"/>
      <c r="AU217" s="12"/>
      <c r="AV217" s="12"/>
      <c r="AW217" s="17"/>
      <c r="AX217" s="12"/>
      <c r="AY217" s="12"/>
      <c r="BA217" s="12"/>
      <c r="BB217" s="12"/>
      <c r="BC217" s="17"/>
      <c r="BD217" s="12"/>
      <c r="BE217" s="12"/>
      <c r="BG217" s="12"/>
      <c r="BH217" s="12"/>
      <c r="BJ217" s="12"/>
      <c r="BK217" s="12"/>
      <c r="BM217" s="12"/>
      <c r="BN217" s="12"/>
      <c r="BO217" s="17"/>
      <c r="BQ217" s="12"/>
      <c r="BR217" s="12"/>
      <c r="BS217" s="17"/>
      <c r="BT217" s="17"/>
      <c r="BU217" s="12"/>
      <c r="BV217" s="12"/>
      <c r="BY217" s="12"/>
      <c r="BZ217" s="12"/>
      <c r="CC217" s="12"/>
      <c r="CD217" s="12"/>
      <c r="CE217"/>
      <c r="CG217" s="12"/>
      <c r="CH217" s="12"/>
      <c r="CI217" s="17"/>
      <c r="CJ217" s="12"/>
      <c r="CK217" s="12"/>
      <c r="CN217" s="12"/>
      <c r="CO217" s="12"/>
      <c r="CT217"/>
      <c r="CV217" s="12"/>
      <c r="CW217" s="12"/>
      <c r="CZ217" s="12"/>
      <c r="DA217" s="12"/>
      <c r="DC217" s="12"/>
      <c r="DD217" s="12"/>
      <c r="DE217" s="17"/>
      <c r="DF217" s="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X217" s="9"/>
      <c r="EY217" s="9"/>
      <c r="EZ217" s="9"/>
      <c r="FA217" s="15"/>
      <c r="FB217" s="14"/>
      <c r="FC217" s="10"/>
      <c r="FD217" s="10"/>
      <c r="FE217" s="10"/>
      <c r="FF217" s="10"/>
      <c r="FG217" s="10"/>
      <c r="FH217" s="10"/>
    </row>
    <row r="218" spans="2:164" x14ac:dyDescent="0.25">
      <c r="B218"/>
      <c r="C218"/>
      <c r="D218"/>
      <c r="E218"/>
      <c r="F218" s="16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 s="16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 s="12"/>
      <c r="AK218" s="12"/>
      <c r="AL218" s="17"/>
      <c r="AN218" s="17"/>
      <c r="AP218" s="17"/>
      <c r="AQ218" s="12"/>
      <c r="AR218" s="12"/>
      <c r="AT218" s="17"/>
      <c r="AU218" s="12"/>
      <c r="AV218" s="12"/>
      <c r="AW218" s="17"/>
      <c r="AX218" s="12"/>
      <c r="AY218" s="12"/>
      <c r="BA218" s="12"/>
      <c r="BB218" s="12"/>
      <c r="BC218" s="17"/>
      <c r="BD218" s="12"/>
      <c r="BE218" s="12"/>
      <c r="BG218" s="12"/>
      <c r="BH218" s="12"/>
      <c r="BJ218" s="12"/>
      <c r="BK218" s="12"/>
      <c r="BM218" s="12"/>
      <c r="BN218" s="12"/>
      <c r="BO218" s="17"/>
      <c r="BQ218" s="12"/>
      <c r="BR218" s="12"/>
      <c r="BU218" s="12"/>
      <c r="BV218" s="12"/>
      <c r="BY218" s="12"/>
      <c r="BZ218" s="12"/>
      <c r="CC218" s="12"/>
      <c r="CD218" s="12"/>
      <c r="CE218"/>
      <c r="CG218" s="12"/>
      <c r="CH218" s="12"/>
      <c r="CJ218" s="12"/>
      <c r="CK218" s="12"/>
      <c r="CN218" s="12"/>
      <c r="CO218" s="12"/>
      <c r="CT218"/>
      <c r="CV218" s="12"/>
      <c r="CW218" s="12"/>
      <c r="CZ218" s="12"/>
      <c r="DA218" s="12"/>
      <c r="DC218" s="12"/>
      <c r="DD218" s="12"/>
      <c r="DE218" s="17"/>
      <c r="DF218" s="17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X218" s="9"/>
      <c r="EY218" s="9"/>
      <c r="EZ218" s="9"/>
      <c r="FA218" s="15"/>
      <c r="FB218" s="14"/>
      <c r="FC218" s="10"/>
      <c r="FD218" s="10"/>
      <c r="FE218" s="10"/>
      <c r="FF218" s="10"/>
      <c r="FG218" s="10"/>
      <c r="FH218" s="10"/>
    </row>
    <row r="219" spans="2:164" x14ac:dyDescent="0.25">
      <c r="B219"/>
      <c r="C219"/>
      <c r="D219"/>
      <c r="E219"/>
      <c r="F219" s="16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 s="16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 s="12"/>
      <c r="AK219" s="12"/>
      <c r="AL219" s="17"/>
      <c r="AN219" s="17"/>
      <c r="AP219" s="17"/>
      <c r="AQ219" s="12"/>
      <c r="AR219" s="12"/>
      <c r="AT219" s="17"/>
      <c r="AU219" s="12"/>
      <c r="AV219" s="12"/>
      <c r="AW219" s="17"/>
      <c r="AX219" s="12"/>
      <c r="AY219" s="12"/>
      <c r="BA219" s="12"/>
      <c r="BB219" s="12"/>
      <c r="BC219" s="17"/>
      <c r="BD219" s="12"/>
      <c r="BE219" s="12"/>
      <c r="BG219" s="12"/>
      <c r="BH219" s="12"/>
      <c r="BJ219" s="12"/>
      <c r="BK219" s="12"/>
      <c r="BM219" s="12"/>
      <c r="BN219" s="12"/>
      <c r="BO219" s="17"/>
      <c r="BQ219" s="12"/>
      <c r="BR219" s="12"/>
      <c r="BS219" s="17"/>
      <c r="BT219" s="17"/>
      <c r="BU219" s="12"/>
      <c r="BV219" s="12"/>
      <c r="BY219" s="12"/>
      <c r="BZ219" s="12"/>
      <c r="CC219" s="12"/>
      <c r="CD219" s="12"/>
      <c r="CE219"/>
      <c r="CG219" s="12"/>
      <c r="CH219" s="12"/>
      <c r="CI219" s="17"/>
      <c r="CJ219" s="12"/>
      <c r="CK219" s="12"/>
      <c r="CN219" s="12"/>
      <c r="CO219" s="12"/>
      <c r="CT219"/>
      <c r="CV219" s="12"/>
      <c r="CW219" s="12"/>
      <c r="CZ219" s="12"/>
      <c r="DA219" s="12"/>
      <c r="DB219" s="17"/>
      <c r="DC219" s="12"/>
      <c r="DD219" s="12"/>
      <c r="DF219" s="17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X219" s="9"/>
      <c r="EY219" s="9"/>
      <c r="EZ219" s="9"/>
      <c r="FA219" s="15"/>
      <c r="FB219" s="14"/>
      <c r="FC219" s="10"/>
      <c r="FD219" s="10"/>
      <c r="FE219" s="10"/>
      <c r="FF219" s="10"/>
      <c r="FG219" s="10"/>
      <c r="FH219" s="10"/>
    </row>
    <row r="220" spans="2:164" x14ac:dyDescent="0.25">
      <c r="B220"/>
      <c r="C220"/>
      <c r="D220"/>
      <c r="E220"/>
      <c r="F220" s="16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 s="16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 s="12"/>
      <c r="AK220" s="12"/>
      <c r="AL220" s="17"/>
      <c r="AN220" s="17"/>
      <c r="AP220" s="17"/>
      <c r="AQ220" s="12"/>
      <c r="AR220" s="12"/>
      <c r="AT220" s="17"/>
      <c r="AU220" s="12"/>
      <c r="AV220" s="12"/>
      <c r="AW220" s="17"/>
      <c r="AX220" s="12"/>
      <c r="AY220" s="12"/>
      <c r="AZ220" s="17"/>
      <c r="BA220" s="12"/>
      <c r="BB220" s="12"/>
      <c r="BD220" s="12"/>
      <c r="BE220" s="12"/>
      <c r="BG220" s="12"/>
      <c r="BH220" s="12"/>
      <c r="BJ220" s="12"/>
      <c r="BK220" s="12"/>
      <c r="BM220" s="12"/>
      <c r="BN220" s="12"/>
      <c r="BO220" s="17"/>
      <c r="BQ220" s="12"/>
      <c r="BR220" s="12"/>
      <c r="BU220" s="12"/>
      <c r="BV220" s="12"/>
      <c r="BY220" s="12"/>
      <c r="BZ220" s="12"/>
      <c r="CC220" s="12"/>
      <c r="CD220" s="12"/>
      <c r="CE220"/>
      <c r="CG220" s="12"/>
      <c r="CH220" s="12"/>
      <c r="CJ220" s="12"/>
      <c r="CK220" s="12"/>
      <c r="CN220" s="12"/>
      <c r="CO220" s="12"/>
      <c r="CT220"/>
      <c r="CV220" s="12"/>
      <c r="CW220" s="12"/>
      <c r="CZ220" s="12"/>
      <c r="DA220" s="12"/>
      <c r="DB220" s="17"/>
      <c r="DC220" s="12"/>
      <c r="DD220" s="12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X220" s="9"/>
      <c r="EY220" s="9"/>
      <c r="EZ220" s="9"/>
      <c r="FA220" s="15"/>
      <c r="FB220" s="14"/>
      <c r="FC220" s="10"/>
      <c r="FD220" s="10"/>
      <c r="FE220" s="10"/>
      <c r="FF220" s="10"/>
      <c r="FG220" s="10"/>
      <c r="FH220" s="10"/>
    </row>
    <row r="221" spans="2:164" x14ac:dyDescent="0.25">
      <c r="B221"/>
      <c r="C221"/>
      <c r="D221"/>
      <c r="E221"/>
      <c r="F221" s="16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 s="16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 s="12"/>
      <c r="AK221" s="12"/>
      <c r="AL221" s="17"/>
      <c r="AN221" s="17"/>
      <c r="AP221" s="17"/>
      <c r="AQ221" s="12"/>
      <c r="AR221" s="12"/>
      <c r="AT221" s="17"/>
      <c r="AU221" s="12"/>
      <c r="AV221" s="12"/>
      <c r="AW221" s="17"/>
      <c r="AX221" s="12"/>
      <c r="AY221" s="12"/>
      <c r="BA221" s="12"/>
      <c r="BB221" s="12"/>
      <c r="BC221" s="17"/>
      <c r="BD221" s="12"/>
      <c r="BE221" s="12"/>
      <c r="BG221" s="12"/>
      <c r="BH221" s="12"/>
      <c r="BJ221" s="12"/>
      <c r="BK221" s="12"/>
      <c r="BM221" s="12"/>
      <c r="BN221" s="12"/>
      <c r="BO221" s="17"/>
      <c r="BQ221" s="12"/>
      <c r="BR221" s="12"/>
      <c r="BU221" s="12"/>
      <c r="BV221" s="12"/>
      <c r="BY221" s="12"/>
      <c r="BZ221" s="12"/>
      <c r="CA221" s="17"/>
      <c r="CB221" s="17"/>
      <c r="CC221" s="12"/>
      <c r="CD221" s="12"/>
      <c r="CE221"/>
      <c r="CG221" s="12"/>
      <c r="CH221" s="12"/>
      <c r="CJ221" s="12"/>
      <c r="CK221" s="12"/>
      <c r="CN221" s="12"/>
      <c r="CO221" s="12"/>
      <c r="CT221"/>
      <c r="CV221" s="12"/>
      <c r="CW221" s="12"/>
      <c r="CZ221" s="12"/>
      <c r="DA221" s="12"/>
      <c r="DC221" s="12"/>
      <c r="DD221" s="12"/>
      <c r="DF221" s="17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X221" s="9"/>
      <c r="EY221" s="9"/>
      <c r="EZ221" s="9"/>
      <c r="FA221" s="15"/>
      <c r="FB221" s="14"/>
      <c r="FC221" s="10"/>
      <c r="FD221" s="10"/>
      <c r="FE221" s="10"/>
      <c r="FF221" s="10"/>
      <c r="FG221" s="10"/>
      <c r="FH221" s="10"/>
    </row>
    <row r="222" spans="2:164" x14ac:dyDescent="0.25">
      <c r="B222"/>
      <c r="C222"/>
      <c r="D222"/>
      <c r="E222"/>
      <c r="F222" s="16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 s="16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 s="12"/>
      <c r="AK222" s="12"/>
      <c r="AL222" s="17"/>
      <c r="AN222" s="17"/>
      <c r="AP222" s="17"/>
      <c r="AQ222" s="12"/>
      <c r="AR222" s="12"/>
      <c r="AT222" s="17"/>
      <c r="AU222" s="12"/>
      <c r="AV222" s="12"/>
      <c r="AW222" s="17"/>
      <c r="AX222" s="12"/>
      <c r="AY222" s="12"/>
      <c r="BA222" s="12"/>
      <c r="BB222" s="12"/>
      <c r="BC222" s="17"/>
      <c r="BD222" s="12"/>
      <c r="BE222" s="12"/>
      <c r="BG222" s="12"/>
      <c r="BH222" s="12"/>
      <c r="BJ222" s="12"/>
      <c r="BK222" s="12"/>
      <c r="BM222" s="12"/>
      <c r="BN222" s="12"/>
      <c r="BO222" s="17"/>
      <c r="BQ222" s="12"/>
      <c r="BR222" s="12"/>
      <c r="BS222" s="17"/>
      <c r="BT222" s="17"/>
      <c r="BU222" s="12"/>
      <c r="BV222" s="12"/>
      <c r="BY222" s="12"/>
      <c r="BZ222" s="12"/>
      <c r="CC222" s="12"/>
      <c r="CD222" s="12"/>
      <c r="CE222"/>
      <c r="CG222" s="12"/>
      <c r="CH222" s="12"/>
      <c r="CI222" s="17"/>
      <c r="CJ222" s="12"/>
      <c r="CK222" s="12"/>
      <c r="CN222" s="12"/>
      <c r="CO222" s="12"/>
      <c r="CT222"/>
      <c r="CV222" s="12"/>
      <c r="CW222" s="12"/>
      <c r="CZ222" s="12"/>
      <c r="DA222" s="12"/>
      <c r="DC222" s="12"/>
      <c r="DD222" s="1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X222" s="9"/>
      <c r="EY222" s="9"/>
      <c r="EZ222" s="9"/>
      <c r="FA222" s="15"/>
      <c r="FB222" s="14"/>
      <c r="FC222" s="10"/>
      <c r="FD222" s="10"/>
      <c r="FE222" s="10"/>
      <c r="FF222" s="10"/>
      <c r="FG222" s="10"/>
      <c r="FH222" s="10"/>
    </row>
    <row r="223" spans="2:164" x14ac:dyDescent="0.25">
      <c r="B223"/>
      <c r="C223"/>
      <c r="D223"/>
      <c r="E223"/>
      <c r="F223" s="16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 s="16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 s="12"/>
      <c r="AK223" s="12"/>
      <c r="AL223" s="17"/>
      <c r="AN223" s="17"/>
      <c r="AP223" s="17"/>
      <c r="AQ223" s="12"/>
      <c r="AR223" s="12"/>
      <c r="AT223" s="17"/>
      <c r="AU223" s="12"/>
      <c r="AV223" s="12"/>
      <c r="AW223" s="17"/>
      <c r="AX223" s="12"/>
      <c r="AY223" s="12"/>
      <c r="BA223" s="12"/>
      <c r="BB223" s="12"/>
      <c r="BC223" s="17"/>
      <c r="BD223" s="12"/>
      <c r="BE223" s="12"/>
      <c r="BG223" s="12"/>
      <c r="BH223" s="12"/>
      <c r="BJ223" s="12"/>
      <c r="BK223" s="12"/>
      <c r="BM223" s="12"/>
      <c r="BN223" s="12"/>
      <c r="BQ223" s="12"/>
      <c r="BR223" s="12"/>
      <c r="BU223" s="12"/>
      <c r="BV223" s="12"/>
      <c r="BY223" s="12"/>
      <c r="BZ223" s="12"/>
      <c r="CC223" s="12"/>
      <c r="CD223" s="12"/>
      <c r="CE223"/>
      <c r="CG223" s="12"/>
      <c r="CH223" s="12"/>
      <c r="CJ223" s="12"/>
      <c r="CK223" s="12"/>
      <c r="CN223" s="12"/>
      <c r="CO223" s="12"/>
      <c r="CT223"/>
      <c r="CV223" s="12"/>
      <c r="CW223" s="12"/>
      <c r="CZ223" s="12"/>
      <c r="DA223" s="12"/>
      <c r="DB223" s="17"/>
      <c r="DC223" s="12"/>
      <c r="DD223" s="12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X223" s="9"/>
      <c r="EY223" s="9"/>
      <c r="EZ223" s="9"/>
      <c r="FA223" s="15"/>
      <c r="FB223" s="14"/>
      <c r="FC223" s="10"/>
      <c r="FD223" s="10"/>
      <c r="FE223" s="10"/>
      <c r="FF223" s="10"/>
      <c r="FG223" s="10"/>
      <c r="FH223" s="10"/>
    </row>
    <row r="224" spans="2:164" x14ac:dyDescent="0.25">
      <c r="B224"/>
      <c r="C224"/>
      <c r="D224"/>
      <c r="E224"/>
      <c r="F224" s="16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 s="16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 s="12"/>
      <c r="AK224" s="12"/>
      <c r="AL224" s="17"/>
      <c r="AN224" s="17"/>
      <c r="AP224" s="17"/>
      <c r="AQ224" s="12"/>
      <c r="AR224" s="12"/>
      <c r="AT224" s="17"/>
      <c r="AU224" s="12"/>
      <c r="AV224" s="12"/>
      <c r="AW224" s="17"/>
      <c r="AX224" s="12"/>
      <c r="AY224" s="12"/>
      <c r="BA224" s="12"/>
      <c r="BB224" s="12"/>
      <c r="BC224" s="17"/>
      <c r="BD224" s="12"/>
      <c r="BE224" s="12"/>
      <c r="BG224" s="12"/>
      <c r="BH224" s="12"/>
      <c r="BJ224" s="12"/>
      <c r="BK224" s="12"/>
      <c r="BM224" s="12"/>
      <c r="BN224" s="12"/>
      <c r="BO224" s="17"/>
      <c r="BQ224" s="12"/>
      <c r="BR224" s="12"/>
      <c r="BS224" s="17"/>
      <c r="BT224" s="17"/>
      <c r="BU224" s="12"/>
      <c r="BV224" s="12"/>
      <c r="BY224" s="12"/>
      <c r="BZ224" s="12"/>
      <c r="CC224" s="12"/>
      <c r="CD224" s="12"/>
      <c r="CE224"/>
      <c r="CG224" s="12"/>
      <c r="CH224" s="12"/>
      <c r="CI224" s="17"/>
      <c r="CJ224" s="12"/>
      <c r="CK224" s="12"/>
      <c r="CN224" s="12"/>
      <c r="CO224" s="12"/>
      <c r="CT224"/>
      <c r="CV224" s="12"/>
      <c r="CW224" s="12"/>
      <c r="CZ224" s="12"/>
      <c r="DA224" s="12"/>
      <c r="DC224" s="12"/>
      <c r="DD224" s="12"/>
      <c r="DF224" s="17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X224" s="9"/>
      <c r="EY224" s="9"/>
      <c r="EZ224" s="9"/>
      <c r="FA224" s="15"/>
      <c r="FB224" s="14"/>
      <c r="FC224" s="10"/>
      <c r="FD224" s="10"/>
      <c r="FE224" s="10"/>
      <c r="FF224" s="10"/>
      <c r="FG224" s="10"/>
      <c r="FH224" s="10"/>
    </row>
    <row r="225" spans="2:164" x14ac:dyDescent="0.25">
      <c r="B225"/>
      <c r="C225"/>
      <c r="D225"/>
      <c r="E225"/>
      <c r="F225" s="16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 s="16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 s="12"/>
      <c r="AK225" s="12"/>
      <c r="AL225" s="17"/>
      <c r="AN225" s="17"/>
      <c r="AP225" s="17"/>
      <c r="AQ225" s="12"/>
      <c r="AR225" s="12"/>
      <c r="AT225" s="17"/>
      <c r="AU225" s="12"/>
      <c r="AV225" s="12"/>
      <c r="AW225" s="17"/>
      <c r="AX225" s="12"/>
      <c r="AY225" s="12"/>
      <c r="BA225" s="12"/>
      <c r="BB225" s="12"/>
      <c r="BD225" s="12"/>
      <c r="BE225" s="12"/>
      <c r="BG225" s="12"/>
      <c r="BH225" s="12"/>
      <c r="BI225" s="17"/>
      <c r="BJ225" s="12"/>
      <c r="BK225" s="12"/>
      <c r="BM225" s="12"/>
      <c r="BN225" s="12"/>
      <c r="BO225" s="17"/>
      <c r="BQ225" s="12"/>
      <c r="BR225" s="12"/>
      <c r="BS225" s="17"/>
      <c r="BT225" s="17"/>
      <c r="BU225" s="12"/>
      <c r="BV225" s="12"/>
      <c r="BY225" s="12"/>
      <c r="BZ225" s="12"/>
      <c r="CC225" s="12"/>
      <c r="CD225" s="12"/>
      <c r="CE225"/>
      <c r="CG225" s="12"/>
      <c r="CH225" s="12"/>
      <c r="CI225" s="17"/>
      <c r="CJ225" s="12"/>
      <c r="CK225" s="12"/>
      <c r="CN225" s="12"/>
      <c r="CO225" s="12"/>
      <c r="CT225"/>
      <c r="CV225" s="12"/>
      <c r="CW225" s="12"/>
      <c r="CZ225" s="12"/>
      <c r="DA225" s="12"/>
      <c r="DB225" s="17"/>
      <c r="DC225" s="12"/>
      <c r="DD225" s="12"/>
      <c r="DE225" s="17"/>
      <c r="DF225" s="17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X225" s="9"/>
      <c r="EY225" s="9"/>
      <c r="EZ225" s="9"/>
      <c r="FA225" s="15"/>
      <c r="FB225" s="14"/>
      <c r="FC225" s="10"/>
      <c r="FD225" s="10"/>
      <c r="FE225" s="10"/>
      <c r="FF225" s="10"/>
      <c r="FG225" s="10"/>
      <c r="FH225" s="10"/>
    </row>
    <row r="226" spans="2:164" x14ac:dyDescent="0.25">
      <c r="B226"/>
      <c r="C226"/>
      <c r="D226"/>
      <c r="E226"/>
      <c r="F226" s="1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 s="1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 s="12"/>
      <c r="AK226" s="12"/>
      <c r="AL226" s="17"/>
      <c r="AN226" s="17"/>
      <c r="AP226" s="17"/>
      <c r="AQ226" s="12"/>
      <c r="AR226" s="12"/>
      <c r="AT226" s="17"/>
      <c r="AU226" s="12"/>
      <c r="AV226" s="12"/>
      <c r="AW226" s="17"/>
      <c r="AX226" s="12"/>
      <c r="AY226" s="12"/>
      <c r="BA226" s="12"/>
      <c r="BB226" s="12"/>
      <c r="BC226" s="17"/>
      <c r="BD226" s="12"/>
      <c r="BE226" s="12"/>
      <c r="BG226" s="12"/>
      <c r="BH226" s="12"/>
      <c r="BJ226" s="12"/>
      <c r="BK226" s="12"/>
      <c r="BM226" s="12"/>
      <c r="BN226" s="12"/>
      <c r="BQ226" s="12"/>
      <c r="BR226" s="12"/>
      <c r="BU226" s="12"/>
      <c r="BV226" s="12"/>
      <c r="BY226" s="12"/>
      <c r="BZ226" s="12"/>
      <c r="CC226" s="12"/>
      <c r="CD226" s="12"/>
      <c r="CE226"/>
      <c r="CG226" s="12"/>
      <c r="CH226" s="12"/>
      <c r="CJ226" s="12"/>
      <c r="CK226" s="12"/>
      <c r="CN226" s="12"/>
      <c r="CO226" s="12"/>
      <c r="CT226"/>
      <c r="CV226" s="12"/>
      <c r="CW226" s="12"/>
      <c r="CZ226" s="12"/>
      <c r="DA226" s="12"/>
      <c r="DC226" s="12"/>
      <c r="DD226" s="12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X226" s="9"/>
      <c r="EY226" s="9"/>
      <c r="EZ226" s="9"/>
      <c r="FA226" s="15"/>
      <c r="FB226" s="14"/>
      <c r="FC226" s="10"/>
      <c r="FD226" s="10"/>
      <c r="FE226" s="10"/>
      <c r="FF226" s="10"/>
      <c r="FG226" s="10"/>
      <c r="FH226" s="10"/>
    </row>
    <row r="227" spans="2:164" x14ac:dyDescent="0.25">
      <c r="B227"/>
      <c r="C227"/>
      <c r="D227"/>
      <c r="E227"/>
      <c r="F227" s="16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 s="16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 s="12"/>
      <c r="AK227" s="12"/>
      <c r="AL227" s="17"/>
      <c r="AN227" s="17"/>
      <c r="AP227" s="17"/>
      <c r="AQ227" s="12"/>
      <c r="AR227" s="12"/>
      <c r="AT227" s="17"/>
      <c r="AU227" s="12"/>
      <c r="AV227" s="12"/>
      <c r="AW227" s="17"/>
      <c r="AX227" s="12"/>
      <c r="AY227" s="12"/>
      <c r="BA227" s="12"/>
      <c r="BB227" s="12"/>
      <c r="BC227" s="17"/>
      <c r="BD227" s="12"/>
      <c r="BE227" s="12"/>
      <c r="BG227" s="12"/>
      <c r="BH227" s="12"/>
      <c r="BJ227" s="12"/>
      <c r="BK227" s="12"/>
      <c r="BM227" s="12"/>
      <c r="BN227" s="12"/>
      <c r="BO227" s="17"/>
      <c r="BQ227" s="12"/>
      <c r="BR227" s="12"/>
      <c r="BS227" s="17"/>
      <c r="BT227" s="17"/>
      <c r="BU227" s="12"/>
      <c r="BV227" s="12"/>
      <c r="BY227" s="12"/>
      <c r="BZ227" s="12"/>
      <c r="CC227" s="12"/>
      <c r="CD227" s="12"/>
      <c r="CE227"/>
      <c r="CG227" s="12"/>
      <c r="CH227" s="12"/>
      <c r="CI227" s="17"/>
      <c r="CJ227" s="12"/>
      <c r="CK227" s="12"/>
      <c r="CN227" s="12"/>
      <c r="CO227" s="12"/>
      <c r="CT227"/>
      <c r="CV227" s="12"/>
      <c r="CW227" s="12"/>
      <c r="CZ227" s="12"/>
      <c r="DA227" s="12"/>
      <c r="DC227" s="12"/>
      <c r="DD227" s="12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X227" s="9"/>
      <c r="EY227" s="9"/>
      <c r="EZ227" s="9"/>
      <c r="FA227" s="15"/>
      <c r="FB227" s="14"/>
      <c r="FC227" s="10"/>
      <c r="FD227" s="10"/>
      <c r="FE227" s="10"/>
      <c r="FF227" s="10"/>
      <c r="FG227" s="10"/>
      <c r="FH227" s="10"/>
    </row>
    <row r="228" spans="2:164" x14ac:dyDescent="0.25">
      <c r="B228"/>
      <c r="C228"/>
      <c r="D228"/>
      <c r="E228"/>
      <c r="F228" s="16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s="16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 s="12"/>
      <c r="AK228" s="12"/>
      <c r="AL228" s="17"/>
      <c r="AN228" s="17"/>
      <c r="AP228" s="17"/>
      <c r="AQ228" s="12"/>
      <c r="AR228" s="12"/>
      <c r="AT228" s="17"/>
      <c r="AU228" s="12"/>
      <c r="AV228" s="12"/>
      <c r="AW228" s="17"/>
      <c r="AX228" s="12"/>
      <c r="AY228" s="12"/>
      <c r="BA228" s="12"/>
      <c r="BB228" s="12"/>
      <c r="BD228" s="12"/>
      <c r="BE228" s="12"/>
      <c r="BF228" s="17"/>
      <c r="BG228" s="12"/>
      <c r="BH228" s="12"/>
      <c r="BJ228" s="12"/>
      <c r="BK228" s="12"/>
      <c r="BM228" s="12"/>
      <c r="BN228" s="12"/>
      <c r="BO228" s="17"/>
      <c r="BQ228" s="12"/>
      <c r="BR228" s="12"/>
      <c r="BU228" s="12"/>
      <c r="BV228" s="12"/>
      <c r="BY228" s="12"/>
      <c r="BZ228" s="12"/>
      <c r="CC228" s="12"/>
      <c r="CD228" s="12"/>
      <c r="CE228"/>
      <c r="CG228" s="12"/>
      <c r="CH228" s="12"/>
      <c r="CJ228" s="12"/>
      <c r="CK228" s="12"/>
      <c r="CN228" s="12"/>
      <c r="CO228" s="12"/>
      <c r="CT228"/>
      <c r="CV228" s="12"/>
      <c r="CW228" s="12"/>
      <c r="CZ228" s="12"/>
      <c r="DA228" s="12"/>
      <c r="DC228" s="12"/>
      <c r="DD228" s="12"/>
      <c r="DE228" s="17"/>
      <c r="DF228" s="17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X228" s="9"/>
      <c r="EY228" s="9"/>
      <c r="EZ228" s="9"/>
      <c r="FA228" s="15"/>
      <c r="FB228" s="14"/>
      <c r="FC228" s="10"/>
      <c r="FD228" s="10"/>
      <c r="FE228" s="10"/>
      <c r="FF228" s="10"/>
      <c r="FG228" s="10"/>
      <c r="FH228" s="10"/>
    </row>
    <row r="229" spans="2:164" x14ac:dyDescent="0.25">
      <c r="B229"/>
      <c r="C229"/>
      <c r="D229"/>
      <c r="E229"/>
      <c r="F229" s="16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 s="16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 s="12"/>
      <c r="AK229" s="12"/>
      <c r="AL229" s="17"/>
      <c r="AN229" s="17"/>
      <c r="AP229" s="17"/>
      <c r="AQ229" s="12"/>
      <c r="AR229" s="12"/>
      <c r="AT229" s="17"/>
      <c r="AU229" s="12"/>
      <c r="AV229" s="12"/>
      <c r="AW229" s="17"/>
      <c r="AX229" s="12"/>
      <c r="AY229" s="12"/>
      <c r="BA229" s="12"/>
      <c r="BB229" s="12"/>
      <c r="BC229" s="17"/>
      <c r="BD229" s="12"/>
      <c r="BE229" s="12"/>
      <c r="BG229" s="12"/>
      <c r="BH229" s="12"/>
      <c r="BJ229" s="12"/>
      <c r="BK229" s="12"/>
      <c r="BM229" s="12"/>
      <c r="BN229" s="12"/>
      <c r="BO229" s="17"/>
      <c r="BQ229" s="12"/>
      <c r="BR229" s="12"/>
      <c r="BU229" s="12"/>
      <c r="BV229" s="12"/>
      <c r="BY229" s="12"/>
      <c r="BZ229" s="12"/>
      <c r="CA229" s="17"/>
      <c r="CB229" s="17"/>
      <c r="CC229" s="12"/>
      <c r="CD229" s="12"/>
      <c r="CE229"/>
      <c r="CG229" s="12"/>
      <c r="CH229" s="12"/>
      <c r="CJ229" s="12"/>
      <c r="CK229" s="12"/>
      <c r="CN229" s="12"/>
      <c r="CO229" s="12"/>
      <c r="CT229"/>
      <c r="CV229" s="12"/>
      <c r="CW229" s="12"/>
      <c r="CZ229" s="12"/>
      <c r="DA229" s="12"/>
      <c r="DB229" s="17"/>
      <c r="DC229" s="12"/>
      <c r="DD229" s="12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X229" s="9"/>
      <c r="EY229" s="9"/>
      <c r="EZ229" s="9"/>
      <c r="FA229" s="15"/>
      <c r="FB229" s="14"/>
      <c r="FC229" s="10"/>
      <c r="FD229" s="10"/>
      <c r="FE229" s="10"/>
      <c r="FF229" s="10"/>
      <c r="FG229" s="10"/>
      <c r="FH229" s="10"/>
    </row>
    <row r="230" spans="2:164" x14ac:dyDescent="0.25">
      <c r="B230"/>
      <c r="C230"/>
      <c r="D230"/>
      <c r="E230"/>
      <c r="F230" s="16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 s="16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 s="12"/>
      <c r="AK230" s="12"/>
      <c r="AL230" s="17"/>
      <c r="AN230" s="17"/>
      <c r="AP230" s="17"/>
      <c r="AQ230" s="12"/>
      <c r="AR230" s="12"/>
      <c r="AT230" s="17"/>
      <c r="AU230" s="12"/>
      <c r="AV230" s="12"/>
      <c r="AW230" s="17"/>
      <c r="AX230" s="12"/>
      <c r="AY230" s="12"/>
      <c r="BA230" s="12"/>
      <c r="BB230" s="12"/>
      <c r="BD230" s="12"/>
      <c r="BE230" s="12"/>
      <c r="BG230" s="12"/>
      <c r="BH230" s="12"/>
      <c r="BJ230" s="12"/>
      <c r="BK230" s="12"/>
      <c r="BM230" s="12"/>
      <c r="BN230" s="12"/>
      <c r="BO230" s="17"/>
      <c r="BQ230" s="12"/>
      <c r="BR230" s="12"/>
      <c r="BS230" s="17"/>
      <c r="BT230" s="17"/>
      <c r="BU230" s="12"/>
      <c r="BV230" s="12"/>
      <c r="BY230" s="12"/>
      <c r="BZ230" s="12"/>
      <c r="CC230" s="12"/>
      <c r="CD230" s="12"/>
      <c r="CE230"/>
      <c r="CG230" s="12"/>
      <c r="CH230" s="12"/>
      <c r="CI230" s="17"/>
      <c r="CJ230" s="12"/>
      <c r="CK230" s="12"/>
      <c r="CN230" s="12"/>
      <c r="CO230" s="12"/>
      <c r="CT230"/>
      <c r="CV230" s="12"/>
      <c r="CW230" s="12"/>
      <c r="CZ230" s="12"/>
      <c r="DA230" s="12"/>
      <c r="DC230" s="12"/>
      <c r="DD230" s="12"/>
      <c r="DE230" s="17"/>
      <c r="DF230" s="17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X230" s="9"/>
      <c r="EY230" s="9"/>
      <c r="EZ230" s="9"/>
      <c r="FA230" s="15"/>
      <c r="FB230" s="14"/>
      <c r="FC230" s="10"/>
      <c r="FD230" s="10"/>
      <c r="FE230" s="10"/>
      <c r="FF230" s="10"/>
      <c r="FG230" s="10"/>
      <c r="FH230" s="10"/>
    </row>
    <row r="231" spans="2:164" x14ac:dyDescent="0.25">
      <c r="B231"/>
      <c r="C231"/>
      <c r="D231"/>
      <c r="E231"/>
      <c r="F231" s="16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 s="16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 s="12"/>
      <c r="AK231" s="12"/>
      <c r="AL231" s="17"/>
      <c r="AN231" s="17"/>
      <c r="AP231" s="17"/>
      <c r="AQ231" s="12"/>
      <c r="AR231" s="12"/>
      <c r="AT231" s="17"/>
      <c r="AU231" s="12"/>
      <c r="AV231" s="12"/>
      <c r="AW231" s="17"/>
      <c r="AX231" s="12"/>
      <c r="AY231" s="12"/>
      <c r="BA231" s="12"/>
      <c r="BB231" s="12"/>
      <c r="BC231" s="17"/>
      <c r="BD231" s="12"/>
      <c r="BE231" s="12"/>
      <c r="BG231" s="12"/>
      <c r="BH231" s="12"/>
      <c r="BJ231" s="12"/>
      <c r="BK231" s="12"/>
      <c r="BM231" s="12"/>
      <c r="BN231" s="12"/>
      <c r="BO231" s="17"/>
      <c r="BQ231" s="12"/>
      <c r="BR231" s="12"/>
      <c r="BU231" s="12"/>
      <c r="BV231" s="12"/>
      <c r="BY231" s="12"/>
      <c r="BZ231" s="12"/>
      <c r="CC231" s="12"/>
      <c r="CD231" s="12"/>
      <c r="CE231"/>
      <c r="CG231" s="12"/>
      <c r="CH231" s="12"/>
      <c r="CJ231" s="12"/>
      <c r="CK231" s="12"/>
      <c r="CN231" s="12"/>
      <c r="CO231" s="12"/>
      <c r="CT231"/>
      <c r="CV231" s="12"/>
      <c r="CW231" s="12"/>
      <c r="CZ231" s="12"/>
      <c r="DA231" s="12"/>
      <c r="DC231" s="12"/>
      <c r="DD231" s="12"/>
      <c r="DE231" s="17"/>
      <c r="DF231" s="17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X231" s="9"/>
      <c r="EY231" s="9"/>
      <c r="EZ231" s="9"/>
      <c r="FA231" s="15"/>
      <c r="FB231" s="14"/>
      <c r="FC231" s="10"/>
      <c r="FD231" s="10"/>
      <c r="FE231" s="10"/>
      <c r="FF231" s="10"/>
      <c r="FG231" s="10"/>
      <c r="FH231" s="10"/>
    </row>
    <row r="232" spans="2:164" x14ac:dyDescent="0.25">
      <c r="B232"/>
      <c r="C232"/>
      <c r="D232"/>
      <c r="E232"/>
      <c r="F232" s="16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 s="16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 s="12"/>
      <c r="AK232" s="12"/>
      <c r="AL232" s="17"/>
      <c r="AN232" s="17"/>
      <c r="AP232" s="17"/>
      <c r="AQ232" s="12"/>
      <c r="AR232" s="12"/>
      <c r="AT232" s="17"/>
      <c r="AU232" s="12"/>
      <c r="AV232" s="12"/>
      <c r="AW232" s="17"/>
      <c r="AX232" s="12"/>
      <c r="AY232" s="12"/>
      <c r="BA232" s="12"/>
      <c r="BB232" s="12"/>
      <c r="BC232" s="17"/>
      <c r="BD232" s="12"/>
      <c r="BE232" s="12"/>
      <c r="BG232" s="12"/>
      <c r="BH232" s="12"/>
      <c r="BJ232" s="12"/>
      <c r="BK232" s="12"/>
      <c r="BM232" s="12"/>
      <c r="BN232" s="12"/>
      <c r="BO232" s="17"/>
      <c r="BQ232" s="12"/>
      <c r="BR232" s="12"/>
      <c r="BU232" s="12"/>
      <c r="BV232" s="12"/>
      <c r="BY232" s="12"/>
      <c r="BZ232" s="12"/>
      <c r="CC232" s="12"/>
      <c r="CD232" s="12"/>
      <c r="CE232"/>
      <c r="CG232" s="12"/>
      <c r="CH232" s="12"/>
      <c r="CI232" s="17"/>
      <c r="CJ232" s="12"/>
      <c r="CK232" s="12"/>
      <c r="CN232" s="12"/>
      <c r="CO232" s="12"/>
      <c r="CT232"/>
      <c r="CV232" s="12"/>
      <c r="CW232" s="12"/>
      <c r="CZ232" s="12"/>
      <c r="DA232" s="12"/>
      <c r="DC232" s="12"/>
      <c r="DD232" s="1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X232" s="9"/>
      <c r="EY232" s="9"/>
      <c r="EZ232" s="9"/>
      <c r="FA232" s="15"/>
      <c r="FB232" s="14"/>
      <c r="FC232" s="10"/>
      <c r="FD232" s="10"/>
      <c r="FE232" s="10"/>
      <c r="FF232" s="10"/>
      <c r="FG232" s="10"/>
      <c r="FH232" s="10"/>
    </row>
    <row r="233" spans="2:164" x14ac:dyDescent="0.25">
      <c r="B233"/>
      <c r="C233"/>
      <c r="D233"/>
      <c r="E233"/>
      <c r="F233" s="16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 s="16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 s="12"/>
      <c r="AK233" s="12"/>
      <c r="AL233" s="17"/>
      <c r="AN233" s="17"/>
      <c r="AP233" s="17"/>
      <c r="AQ233" s="12"/>
      <c r="AR233" s="12"/>
      <c r="AT233" s="17"/>
      <c r="AU233" s="12"/>
      <c r="AV233" s="12"/>
      <c r="AW233" s="17"/>
      <c r="AX233" s="12"/>
      <c r="AY233" s="12"/>
      <c r="BA233" s="12"/>
      <c r="BB233" s="12"/>
      <c r="BC233" s="17"/>
      <c r="BD233" s="12"/>
      <c r="BE233" s="12"/>
      <c r="BG233" s="12"/>
      <c r="BH233" s="12"/>
      <c r="BJ233" s="12"/>
      <c r="BK233" s="12"/>
      <c r="BM233" s="12"/>
      <c r="BN233" s="12"/>
      <c r="BQ233" s="12"/>
      <c r="BR233" s="12"/>
      <c r="BU233" s="12"/>
      <c r="BV233" s="12"/>
      <c r="BY233" s="12"/>
      <c r="BZ233" s="12"/>
      <c r="CC233" s="12"/>
      <c r="CD233" s="12"/>
      <c r="CE233"/>
      <c r="CG233" s="12"/>
      <c r="CH233" s="12"/>
      <c r="CJ233" s="12"/>
      <c r="CK233" s="12"/>
      <c r="CN233" s="12"/>
      <c r="CO233" s="12"/>
      <c r="CT233"/>
      <c r="CV233" s="12"/>
      <c r="CW233" s="12"/>
      <c r="CZ233" s="12"/>
      <c r="DA233" s="12"/>
      <c r="DC233" s="12"/>
      <c r="DD233" s="12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X233" s="9"/>
      <c r="EY233" s="9"/>
      <c r="EZ233" s="9"/>
      <c r="FA233" s="15"/>
      <c r="FB233" s="14"/>
      <c r="FC233" s="10"/>
      <c r="FD233" s="10"/>
      <c r="FE233" s="10"/>
      <c r="FF233" s="10"/>
      <c r="FG233" s="10"/>
      <c r="FH233" s="10"/>
    </row>
    <row r="234" spans="2:164" x14ac:dyDescent="0.25">
      <c r="B234"/>
      <c r="C234"/>
      <c r="D234"/>
      <c r="E234"/>
      <c r="F234" s="16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 s="16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 s="12"/>
      <c r="AK234" s="12"/>
      <c r="AL234" s="17"/>
      <c r="AN234" s="17"/>
      <c r="AP234" s="17"/>
      <c r="AQ234" s="12"/>
      <c r="AR234" s="12"/>
      <c r="AT234" s="17"/>
      <c r="AU234" s="12"/>
      <c r="AV234" s="12"/>
      <c r="AW234" s="17"/>
      <c r="AX234" s="12"/>
      <c r="AY234" s="12"/>
      <c r="BA234" s="12"/>
      <c r="BB234" s="12"/>
      <c r="BC234" s="17"/>
      <c r="BD234" s="12"/>
      <c r="BE234" s="12"/>
      <c r="BG234" s="12"/>
      <c r="BH234" s="12"/>
      <c r="BJ234" s="12"/>
      <c r="BK234" s="12"/>
      <c r="BM234" s="12"/>
      <c r="BN234" s="12"/>
      <c r="BQ234" s="12"/>
      <c r="BR234" s="12"/>
      <c r="BU234" s="12"/>
      <c r="BV234" s="12"/>
      <c r="BY234" s="12"/>
      <c r="BZ234" s="12"/>
      <c r="CC234" s="12"/>
      <c r="CD234" s="12"/>
      <c r="CE234"/>
      <c r="CG234" s="12"/>
      <c r="CH234" s="12"/>
      <c r="CJ234" s="12"/>
      <c r="CK234" s="12"/>
      <c r="CN234" s="12"/>
      <c r="CO234" s="12"/>
      <c r="CT234"/>
      <c r="CV234" s="12"/>
      <c r="CW234" s="12"/>
      <c r="CZ234" s="12"/>
      <c r="DA234" s="12"/>
      <c r="DC234" s="12"/>
      <c r="DD234" s="12"/>
      <c r="DE234" s="17"/>
      <c r="DF234" s="17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X234" s="9"/>
      <c r="EY234" s="9"/>
      <c r="EZ234" s="9"/>
      <c r="FA234" s="15"/>
      <c r="FB234" s="14"/>
      <c r="FC234" s="10"/>
      <c r="FD234" s="10"/>
      <c r="FE234" s="10"/>
      <c r="FF234" s="10"/>
      <c r="FG234" s="10"/>
      <c r="FH234" s="10"/>
    </row>
    <row r="235" spans="2:164" x14ac:dyDescent="0.25">
      <c r="B235"/>
      <c r="C235"/>
      <c r="D235"/>
      <c r="E235"/>
      <c r="F235" s="16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 s="16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 s="12"/>
      <c r="AK235" s="12"/>
      <c r="AL235" s="17"/>
      <c r="AN235" s="17"/>
      <c r="AP235" s="17"/>
      <c r="AQ235" s="12"/>
      <c r="AR235" s="12"/>
      <c r="AT235" s="17"/>
      <c r="AU235" s="12"/>
      <c r="AV235" s="12"/>
      <c r="AW235" s="17"/>
      <c r="AX235" s="12"/>
      <c r="AY235" s="12"/>
      <c r="BA235" s="12"/>
      <c r="BB235" s="12"/>
      <c r="BC235" s="17"/>
      <c r="BD235" s="12"/>
      <c r="BE235" s="12"/>
      <c r="BG235" s="12"/>
      <c r="BH235" s="12"/>
      <c r="BJ235" s="12"/>
      <c r="BK235" s="12"/>
      <c r="BM235" s="12"/>
      <c r="BN235" s="12"/>
      <c r="BO235" s="17"/>
      <c r="BQ235" s="12"/>
      <c r="BR235" s="12"/>
      <c r="BU235" s="12"/>
      <c r="BV235" s="12"/>
      <c r="BW235" s="17"/>
      <c r="BX235" s="17"/>
      <c r="BY235" s="12"/>
      <c r="BZ235" s="12"/>
      <c r="CC235" s="12"/>
      <c r="CD235" s="12"/>
      <c r="CE235"/>
      <c r="CG235" s="12"/>
      <c r="CH235" s="12"/>
      <c r="CJ235" s="12"/>
      <c r="CK235" s="12"/>
      <c r="CL235" s="17"/>
      <c r="CM235" s="17"/>
      <c r="CN235" s="12"/>
      <c r="CO235" s="12"/>
      <c r="CT235"/>
      <c r="CV235" s="12"/>
      <c r="CW235" s="12"/>
      <c r="CZ235" s="12"/>
      <c r="DA235" s="12"/>
      <c r="DC235" s="12"/>
      <c r="DD235" s="12"/>
      <c r="DF235" s="17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X235" s="9"/>
      <c r="EY235" s="9"/>
      <c r="EZ235" s="9"/>
      <c r="FA235" s="15"/>
      <c r="FB235" s="14"/>
      <c r="FC235" s="10"/>
      <c r="FD235" s="10"/>
      <c r="FE235" s="10"/>
      <c r="FF235" s="10"/>
      <c r="FG235" s="10"/>
      <c r="FH235" s="10"/>
    </row>
    <row r="236" spans="2:164" x14ac:dyDescent="0.25">
      <c r="B236"/>
      <c r="C236"/>
      <c r="D236"/>
      <c r="E236"/>
      <c r="F236" s="1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 s="1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 s="12"/>
      <c r="AK236" s="12"/>
      <c r="AL236" s="17"/>
      <c r="AN236" s="17"/>
      <c r="AP236" s="17"/>
      <c r="AQ236" s="12"/>
      <c r="AR236" s="12"/>
      <c r="AT236" s="17"/>
      <c r="AU236" s="12"/>
      <c r="AV236" s="12"/>
      <c r="AW236" s="17"/>
      <c r="AX236" s="12"/>
      <c r="AY236" s="12"/>
      <c r="BA236" s="12"/>
      <c r="BB236" s="12"/>
      <c r="BD236" s="12"/>
      <c r="BE236" s="12"/>
      <c r="BF236" s="17"/>
      <c r="BG236" s="12"/>
      <c r="BH236" s="12"/>
      <c r="BJ236" s="12"/>
      <c r="BK236" s="12"/>
      <c r="BM236" s="12"/>
      <c r="BN236" s="12"/>
      <c r="BO236" s="17"/>
      <c r="BQ236" s="12"/>
      <c r="BR236" s="12"/>
      <c r="BU236" s="12"/>
      <c r="BV236" s="12"/>
      <c r="BY236" s="12"/>
      <c r="BZ236" s="12"/>
      <c r="CA236" s="17"/>
      <c r="CB236" s="17"/>
      <c r="CC236" s="12"/>
      <c r="CD236" s="12"/>
      <c r="CE236"/>
      <c r="CG236" s="12"/>
      <c r="CH236" s="12"/>
      <c r="CJ236" s="12"/>
      <c r="CK236" s="12"/>
      <c r="CN236" s="12"/>
      <c r="CO236" s="12"/>
      <c r="CT236"/>
      <c r="CV236" s="12"/>
      <c r="CW236" s="12"/>
      <c r="CZ236" s="12"/>
      <c r="DA236" s="12"/>
      <c r="DC236" s="12"/>
      <c r="DD236" s="12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X236" s="9"/>
      <c r="EY236" s="9"/>
      <c r="EZ236" s="9"/>
      <c r="FA236" s="15"/>
      <c r="FB236" s="14"/>
      <c r="FC236" s="10"/>
      <c r="FD236" s="10"/>
      <c r="FE236" s="10"/>
      <c r="FF236" s="10"/>
      <c r="FG236" s="10"/>
      <c r="FH236" s="10"/>
    </row>
    <row r="237" spans="2:164" x14ac:dyDescent="0.25">
      <c r="B237"/>
      <c r="C237"/>
      <c r="D237"/>
      <c r="E237"/>
      <c r="F237" s="16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 s="16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 s="12"/>
      <c r="AK237" s="12"/>
      <c r="AL237" s="17"/>
      <c r="AP237" s="17"/>
      <c r="AQ237" s="12"/>
      <c r="AR237" s="12"/>
      <c r="AT237" s="17"/>
      <c r="AU237" s="12"/>
      <c r="AV237" s="12"/>
      <c r="AW237" s="17"/>
      <c r="AX237" s="12"/>
      <c r="AY237" s="12"/>
      <c r="BA237" s="12"/>
      <c r="BB237" s="12"/>
      <c r="BC237" s="17"/>
      <c r="BD237" s="12"/>
      <c r="BE237" s="12"/>
      <c r="BG237" s="12"/>
      <c r="BH237" s="12"/>
      <c r="BJ237" s="12"/>
      <c r="BK237" s="12"/>
      <c r="BM237" s="12"/>
      <c r="BN237" s="12"/>
      <c r="BQ237" s="12"/>
      <c r="BR237" s="12"/>
      <c r="BU237" s="12"/>
      <c r="BV237" s="12"/>
      <c r="BY237" s="12"/>
      <c r="BZ237" s="12"/>
      <c r="CC237" s="12"/>
      <c r="CD237" s="12"/>
      <c r="CE237"/>
      <c r="CG237" s="12"/>
      <c r="CH237" s="12"/>
      <c r="CJ237" s="12"/>
      <c r="CK237" s="12"/>
      <c r="CN237" s="12"/>
      <c r="CO237" s="12"/>
      <c r="CT237"/>
      <c r="CV237" s="12"/>
      <c r="CW237" s="12"/>
      <c r="CZ237" s="12"/>
      <c r="DA237" s="12"/>
      <c r="DC237" s="12"/>
      <c r="DD237" s="12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X237" s="9"/>
      <c r="EY237" s="9"/>
      <c r="EZ237" s="9"/>
      <c r="FA237" s="15"/>
      <c r="FB237" s="14"/>
      <c r="FC237" s="10"/>
      <c r="FD237" s="10"/>
      <c r="FE237" s="10"/>
      <c r="FF237" s="10"/>
      <c r="FG237" s="10"/>
      <c r="FH237" s="10"/>
    </row>
    <row r="238" spans="2:164" x14ac:dyDescent="0.25">
      <c r="B238"/>
      <c r="C238"/>
      <c r="D238"/>
      <c r="E238"/>
      <c r="F238" s="16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 s="16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 s="12"/>
      <c r="AK238" s="12"/>
      <c r="AL238" s="17"/>
      <c r="AN238" s="17"/>
      <c r="AP238" s="17"/>
      <c r="AQ238" s="12"/>
      <c r="AR238" s="12"/>
      <c r="AS238" s="17"/>
      <c r="AT238" s="17"/>
      <c r="AU238" s="12"/>
      <c r="AV238" s="12"/>
      <c r="AW238" s="17"/>
      <c r="AX238" s="12"/>
      <c r="AY238" s="12"/>
      <c r="BA238" s="12"/>
      <c r="BB238" s="12"/>
      <c r="BD238" s="12"/>
      <c r="BE238" s="12"/>
      <c r="BF238" s="17"/>
      <c r="BG238" s="12"/>
      <c r="BH238" s="12"/>
      <c r="BJ238" s="12"/>
      <c r="BK238" s="12"/>
      <c r="BM238" s="12"/>
      <c r="BN238" s="12"/>
      <c r="BO238" s="17"/>
      <c r="BQ238" s="12"/>
      <c r="BR238" s="12"/>
      <c r="BU238" s="12"/>
      <c r="BV238" s="12"/>
      <c r="BY238" s="12"/>
      <c r="BZ238" s="12"/>
      <c r="CC238" s="12"/>
      <c r="CD238" s="12"/>
      <c r="CE238"/>
      <c r="CG238" s="12"/>
      <c r="CH238" s="12"/>
      <c r="CJ238" s="12"/>
      <c r="CK238" s="12"/>
      <c r="CN238" s="12"/>
      <c r="CO238" s="12"/>
      <c r="CT238"/>
      <c r="CV238" s="12"/>
      <c r="CW238" s="12"/>
      <c r="CZ238" s="12"/>
      <c r="DA238" s="12"/>
      <c r="DC238" s="12"/>
      <c r="DD238" s="12"/>
      <c r="DF238" s="17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X238" s="9"/>
      <c r="EY238" s="9"/>
      <c r="EZ238" s="9"/>
      <c r="FA238" s="15"/>
      <c r="FB238" s="14"/>
      <c r="FC238" s="10"/>
      <c r="FD238" s="10"/>
      <c r="FE238" s="10"/>
      <c r="FF238" s="10"/>
      <c r="FG238" s="10"/>
      <c r="FH238" s="10"/>
    </row>
    <row r="239" spans="2:164" x14ac:dyDescent="0.25">
      <c r="B239"/>
      <c r="C239"/>
      <c r="D239"/>
      <c r="E239"/>
      <c r="F239" s="16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 s="16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 s="12"/>
      <c r="AK239" s="12"/>
      <c r="AL239" s="17"/>
      <c r="AN239" s="17"/>
      <c r="AP239" s="17"/>
      <c r="AQ239" s="12"/>
      <c r="AR239" s="12"/>
      <c r="AS239" s="17"/>
      <c r="AT239" s="17"/>
      <c r="AU239" s="12"/>
      <c r="AV239" s="12"/>
      <c r="AW239" s="17"/>
      <c r="AX239" s="12"/>
      <c r="AY239" s="12"/>
      <c r="BA239" s="12"/>
      <c r="BB239" s="12"/>
      <c r="BD239" s="12"/>
      <c r="BE239" s="12"/>
      <c r="BF239" s="17"/>
      <c r="BG239" s="12"/>
      <c r="BH239" s="12"/>
      <c r="BJ239" s="12"/>
      <c r="BK239" s="12"/>
      <c r="BM239" s="12"/>
      <c r="BN239" s="12"/>
      <c r="BO239" s="17"/>
      <c r="BQ239" s="12"/>
      <c r="BR239" s="12"/>
      <c r="BU239" s="12"/>
      <c r="BV239" s="12"/>
      <c r="BY239" s="12"/>
      <c r="BZ239" s="12"/>
      <c r="CC239" s="12"/>
      <c r="CD239" s="12"/>
      <c r="CE239"/>
      <c r="CG239" s="12"/>
      <c r="CH239" s="12"/>
      <c r="CJ239" s="12"/>
      <c r="CK239" s="12"/>
      <c r="CN239" s="12"/>
      <c r="CO239" s="12"/>
      <c r="CT239"/>
      <c r="CV239" s="12"/>
      <c r="CW239" s="12"/>
      <c r="CX239" s="17"/>
      <c r="CZ239" s="12"/>
      <c r="DA239" s="12"/>
      <c r="DC239" s="12"/>
      <c r="DD239" s="12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X239" s="9"/>
      <c r="EY239" s="9"/>
      <c r="EZ239" s="9"/>
      <c r="FA239" s="15"/>
      <c r="FB239" s="14"/>
      <c r="FC239" s="10"/>
      <c r="FD239" s="10"/>
      <c r="FE239" s="10"/>
      <c r="FF239" s="10"/>
      <c r="FG239" s="10"/>
      <c r="FH239" s="10"/>
    </row>
    <row r="240" spans="2:164" x14ac:dyDescent="0.25">
      <c r="B240"/>
      <c r="C240"/>
      <c r="D240"/>
      <c r="E240"/>
      <c r="F240" s="16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 s="16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 s="12"/>
      <c r="AK240" s="12"/>
      <c r="AL240" s="17"/>
      <c r="AN240" s="17"/>
      <c r="AP240" s="17"/>
      <c r="AQ240" s="12"/>
      <c r="AR240" s="12"/>
      <c r="AS240" s="17"/>
      <c r="AT240" s="17"/>
      <c r="AU240" s="12"/>
      <c r="AV240" s="12"/>
      <c r="AW240" s="17"/>
      <c r="AX240" s="12"/>
      <c r="AY240" s="12"/>
      <c r="BA240" s="12"/>
      <c r="BB240" s="12"/>
      <c r="BD240" s="12"/>
      <c r="BE240" s="12"/>
      <c r="BF240" s="17"/>
      <c r="BG240" s="12"/>
      <c r="BH240" s="12"/>
      <c r="BJ240" s="12"/>
      <c r="BK240" s="12"/>
      <c r="BM240" s="12"/>
      <c r="BN240" s="12"/>
      <c r="BO240" s="17"/>
      <c r="BQ240" s="12"/>
      <c r="BR240" s="12"/>
      <c r="BU240" s="12"/>
      <c r="BV240" s="12"/>
      <c r="BY240" s="12"/>
      <c r="BZ240" s="12"/>
      <c r="CC240" s="12"/>
      <c r="CD240" s="12"/>
      <c r="CE240"/>
      <c r="CG240" s="12"/>
      <c r="CH240" s="12"/>
      <c r="CJ240" s="12"/>
      <c r="CK240" s="12"/>
      <c r="CN240" s="12"/>
      <c r="CO240" s="12"/>
      <c r="CT240"/>
      <c r="CV240" s="12"/>
      <c r="CW240" s="12"/>
      <c r="CZ240" s="12"/>
      <c r="DA240" s="12"/>
      <c r="DB240" s="17"/>
      <c r="DC240" s="12"/>
      <c r="DD240" s="12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X240" s="9"/>
      <c r="EY240" s="9"/>
      <c r="EZ240" s="9"/>
      <c r="FA240" s="15"/>
      <c r="FB240" s="14"/>
      <c r="FC240" s="10"/>
      <c r="FD240" s="10"/>
      <c r="FE240" s="10"/>
      <c r="FF240" s="10"/>
      <c r="FG240" s="10"/>
      <c r="FH240" s="10"/>
    </row>
    <row r="241" spans="2:164" x14ac:dyDescent="0.25">
      <c r="B241"/>
      <c r="C241"/>
      <c r="D241"/>
      <c r="E241"/>
      <c r="F241" s="16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 s="16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 s="12"/>
      <c r="AK241" s="12"/>
      <c r="AL241" s="17"/>
      <c r="AN241" s="17"/>
      <c r="AP241" s="17"/>
      <c r="AQ241" s="12"/>
      <c r="AR241" s="12"/>
      <c r="AS241" s="17"/>
      <c r="AT241" s="17"/>
      <c r="AU241" s="12"/>
      <c r="AV241" s="12"/>
      <c r="AW241" s="17"/>
      <c r="AX241" s="12"/>
      <c r="AY241" s="12"/>
      <c r="BA241" s="12"/>
      <c r="BB241" s="12"/>
      <c r="BD241" s="12"/>
      <c r="BE241" s="12"/>
      <c r="BF241" s="17"/>
      <c r="BG241" s="12"/>
      <c r="BH241" s="12"/>
      <c r="BJ241" s="12"/>
      <c r="BK241" s="12"/>
      <c r="BM241" s="12"/>
      <c r="BN241" s="12"/>
      <c r="BO241" s="17"/>
      <c r="BQ241" s="12"/>
      <c r="BR241" s="12"/>
      <c r="BU241" s="12"/>
      <c r="BV241" s="12"/>
      <c r="BY241" s="12"/>
      <c r="BZ241" s="12"/>
      <c r="CC241" s="12"/>
      <c r="CD241" s="12"/>
      <c r="CE241"/>
      <c r="CG241" s="12"/>
      <c r="CH241" s="12"/>
      <c r="CJ241" s="12"/>
      <c r="CK241" s="12"/>
      <c r="CN241" s="12"/>
      <c r="CO241" s="12"/>
      <c r="CT241"/>
      <c r="CV241" s="12"/>
      <c r="CW241" s="12"/>
      <c r="CZ241" s="12"/>
      <c r="DA241" s="12"/>
      <c r="DB241" s="17"/>
      <c r="DC241" s="12"/>
      <c r="DD241" s="12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X241" s="9"/>
      <c r="EY241" s="9"/>
      <c r="EZ241" s="9"/>
      <c r="FA241" s="15"/>
      <c r="FB241" s="14"/>
      <c r="FC241" s="10"/>
      <c r="FD241" s="10"/>
      <c r="FE241" s="10"/>
      <c r="FF241" s="10"/>
      <c r="FG241" s="10"/>
      <c r="FH241" s="10"/>
    </row>
    <row r="242" spans="2:164" x14ac:dyDescent="0.25">
      <c r="B242"/>
      <c r="C242"/>
      <c r="D242"/>
      <c r="E242"/>
      <c r="F242" s="16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 s="16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 s="12"/>
      <c r="AK242" s="12"/>
      <c r="AL242" s="17"/>
      <c r="AN242" s="17"/>
      <c r="AP242" s="17"/>
      <c r="AQ242" s="12"/>
      <c r="AR242" s="12"/>
      <c r="AS242" s="17"/>
      <c r="AT242" s="17"/>
      <c r="AU242" s="12"/>
      <c r="AV242" s="12"/>
      <c r="AW242" s="17"/>
      <c r="AX242" s="12"/>
      <c r="AY242" s="12"/>
      <c r="BA242" s="12"/>
      <c r="BB242" s="12"/>
      <c r="BD242" s="12"/>
      <c r="BE242" s="12"/>
      <c r="BF242" s="17"/>
      <c r="BG242" s="12"/>
      <c r="BH242" s="12"/>
      <c r="BJ242" s="12"/>
      <c r="BK242" s="12"/>
      <c r="BM242" s="12"/>
      <c r="BN242" s="12"/>
      <c r="BO242" s="17"/>
      <c r="BQ242" s="12"/>
      <c r="BR242" s="12"/>
      <c r="BU242" s="12"/>
      <c r="BV242" s="12"/>
      <c r="BY242" s="12"/>
      <c r="BZ242" s="12"/>
      <c r="CC242" s="12"/>
      <c r="CD242" s="12"/>
      <c r="CE242"/>
      <c r="CG242" s="12"/>
      <c r="CH242" s="12"/>
      <c r="CJ242" s="12"/>
      <c r="CK242" s="12"/>
      <c r="CN242" s="12"/>
      <c r="CO242" s="12"/>
      <c r="CT242"/>
      <c r="CV242" s="12"/>
      <c r="CW242" s="12"/>
      <c r="CZ242" s="12"/>
      <c r="DA242" s="12"/>
      <c r="DC242" s="12"/>
      <c r="DD242" s="12"/>
      <c r="DF242" s="17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X242" s="9"/>
      <c r="EY242" s="9"/>
      <c r="EZ242" s="9"/>
      <c r="FA242" s="15"/>
      <c r="FB242" s="14"/>
      <c r="FC242" s="10"/>
      <c r="FD242" s="10"/>
      <c r="FE242" s="10"/>
      <c r="FF242" s="10"/>
      <c r="FG242" s="10"/>
      <c r="FH242" s="10"/>
    </row>
    <row r="243" spans="2:164" x14ac:dyDescent="0.25">
      <c r="B243"/>
      <c r="C243"/>
      <c r="D243"/>
      <c r="E243"/>
      <c r="F243" s="16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 s="16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 s="12"/>
      <c r="AK243" s="12"/>
      <c r="AL243" s="17"/>
      <c r="AN243" s="17"/>
      <c r="AP243" s="17"/>
      <c r="AQ243" s="12"/>
      <c r="AR243" s="12"/>
      <c r="AS243" s="17"/>
      <c r="AT243" s="17"/>
      <c r="AU243" s="12"/>
      <c r="AV243" s="12"/>
      <c r="AW243" s="17"/>
      <c r="AX243" s="12"/>
      <c r="AY243" s="12"/>
      <c r="BA243" s="12"/>
      <c r="BB243" s="12"/>
      <c r="BD243" s="12"/>
      <c r="BE243" s="12"/>
      <c r="BF243" s="17"/>
      <c r="BG243" s="12"/>
      <c r="BH243" s="12"/>
      <c r="BJ243" s="12"/>
      <c r="BK243" s="12"/>
      <c r="BM243" s="12"/>
      <c r="BN243" s="12"/>
      <c r="BO243" s="17"/>
      <c r="BQ243" s="12"/>
      <c r="BR243" s="12"/>
      <c r="BU243" s="12"/>
      <c r="BV243" s="12"/>
      <c r="BY243" s="12"/>
      <c r="BZ243" s="12"/>
      <c r="CC243" s="12"/>
      <c r="CD243" s="12"/>
      <c r="CE243"/>
      <c r="CG243" s="12"/>
      <c r="CH243" s="12"/>
      <c r="CJ243" s="12"/>
      <c r="CK243" s="12"/>
      <c r="CN243" s="12"/>
      <c r="CO243" s="12"/>
      <c r="CT243"/>
      <c r="CV243" s="12"/>
      <c r="CW243" s="12"/>
      <c r="CZ243" s="12"/>
      <c r="DA243" s="12"/>
      <c r="DC243" s="12"/>
      <c r="DD243" s="12"/>
      <c r="DE243" s="17"/>
      <c r="DF243" s="17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X243" s="9"/>
      <c r="EY243" s="9"/>
      <c r="EZ243" s="9"/>
      <c r="FA243" s="15"/>
      <c r="FB243" s="14"/>
      <c r="FC243" s="10"/>
      <c r="FD243" s="10"/>
      <c r="FE243" s="10"/>
      <c r="FF243" s="10"/>
      <c r="FG243" s="10"/>
      <c r="FH243" s="10"/>
    </row>
    <row r="244" spans="2:164" x14ac:dyDescent="0.25">
      <c r="B244"/>
      <c r="C244"/>
      <c r="D244"/>
      <c r="E244"/>
      <c r="F244" s="16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 s="16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 s="12"/>
      <c r="AK244" s="12"/>
      <c r="AL244" s="17"/>
      <c r="AN244" s="17"/>
      <c r="AP244" s="17"/>
      <c r="AQ244" s="12"/>
      <c r="AR244" s="12"/>
      <c r="AS244" s="17"/>
      <c r="AT244" s="17"/>
      <c r="AU244" s="12"/>
      <c r="AV244" s="12"/>
      <c r="AW244" s="17"/>
      <c r="AX244" s="12"/>
      <c r="AY244" s="12"/>
      <c r="BA244" s="12"/>
      <c r="BB244" s="12"/>
      <c r="BD244" s="12"/>
      <c r="BE244" s="12"/>
      <c r="BF244" s="17"/>
      <c r="BG244" s="12"/>
      <c r="BH244" s="12"/>
      <c r="BJ244" s="12"/>
      <c r="BK244" s="12"/>
      <c r="BM244" s="12"/>
      <c r="BN244" s="12"/>
      <c r="BO244" s="17"/>
      <c r="BQ244" s="12"/>
      <c r="BR244" s="12"/>
      <c r="BU244" s="12"/>
      <c r="BV244" s="12"/>
      <c r="BY244" s="12"/>
      <c r="BZ244" s="12"/>
      <c r="CC244" s="12"/>
      <c r="CD244" s="12"/>
      <c r="CE244"/>
      <c r="CG244" s="12"/>
      <c r="CH244" s="12"/>
      <c r="CJ244" s="12"/>
      <c r="CK244" s="12"/>
      <c r="CN244" s="12"/>
      <c r="CO244" s="12"/>
      <c r="CT244"/>
      <c r="CV244" s="12"/>
      <c r="CW244" s="12"/>
      <c r="CX244" s="17"/>
      <c r="CZ244" s="12"/>
      <c r="DA244" s="12"/>
      <c r="DC244" s="12"/>
      <c r="DD244" s="12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X244" s="9"/>
      <c r="EY244" s="9"/>
      <c r="EZ244" s="9"/>
      <c r="FA244" s="15"/>
      <c r="FB244" s="14"/>
      <c r="FC244" s="10"/>
      <c r="FD244" s="10"/>
      <c r="FE244" s="10"/>
      <c r="FF244" s="10"/>
      <c r="FG244" s="10"/>
      <c r="FH244" s="10"/>
    </row>
    <row r="245" spans="2:164" x14ac:dyDescent="0.25">
      <c r="B245"/>
      <c r="C245"/>
      <c r="D245"/>
      <c r="E245"/>
      <c r="F245" s="16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 s="16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 s="12"/>
      <c r="AK245" s="12"/>
      <c r="AL245" s="17"/>
      <c r="AN245" s="17"/>
      <c r="AP245" s="17"/>
      <c r="AQ245" s="12"/>
      <c r="AR245" s="12"/>
      <c r="AS245" s="17"/>
      <c r="AT245" s="17"/>
      <c r="AU245" s="12"/>
      <c r="AV245" s="12"/>
      <c r="AW245" s="17"/>
      <c r="AX245" s="12"/>
      <c r="AY245" s="12"/>
      <c r="BA245" s="12"/>
      <c r="BB245" s="12"/>
      <c r="BC245" s="17"/>
      <c r="BD245" s="12"/>
      <c r="BE245" s="12"/>
      <c r="BG245" s="12"/>
      <c r="BH245" s="12"/>
      <c r="BJ245" s="12"/>
      <c r="BK245" s="12"/>
      <c r="BM245" s="12"/>
      <c r="BN245" s="12"/>
      <c r="BO245" s="17"/>
      <c r="BQ245" s="12"/>
      <c r="BR245" s="12"/>
      <c r="BU245" s="12"/>
      <c r="BV245" s="12"/>
      <c r="BY245" s="12"/>
      <c r="BZ245" s="12"/>
      <c r="CC245" s="12"/>
      <c r="CD245" s="12"/>
      <c r="CE245"/>
      <c r="CG245" s="12"/>
      <c r="CH245" s="12"/>
      <c r="CJ245" s="12"/>
      <c r="CK245" s="12"/>
      <c r="CN245" s="12"/>
      <c r="CO245" s="12"/>
      <c r="CT245"/>
      <c r="CV245" s="12"/>
      <c r="CW245" s="12"/>
      <c r="CX245" s="17"/>
      <c r="CZ245" s="12"/>
      <c r="DA245" s="12"/>
      <c r="DC245" s="12"/>
      <c r="DD245" s="12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X245" s="9"/>
      <c r="EY245" s="9"/>
      <c r="EZ245" s="9"/>
      <c r="FA245" s="15"/>
      <c r="FB245" s="14"/>
      <c r="FC245" s="10"/>
      <c r="FD245" s="10"/>
      <c r="FE245" s="10"/>
      <c r="FF245" s="10"/>
      <c r="FG245" s="10"/>
      <c r="FH245" s="10"/>
    </row>
    <row r="246" spans="2:164" x14ac:dyDescent="0.25">
      <c r="B246"/>
      <c r="C246"/>
      <c r="D246"/>
      <c r="E246"/>
      <c r="F246" s="1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 s="1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 s="12"/>
      <c r="AK246" s="12"/>
      <c r="AL246" s="17"/>
      <c r="AN246" s="17"/>
      <c r="AP246" s="17"/>
      <c r="AQ246" s="12"/>
      <c r="AR246" s="12"/>
      <c r="AS246" s="17"/>
      <c r="AT246" s="17"/>
      <c r="AU246" s="12"/>
      <c r="AV246" s="12"/>
      <c r="AW246" s="17"/>
      <c r="AX246" s="12"/>
      <c r="AY246" s="12"/>
      <c r="BA246" s="12"/>
      <c r="BB246" s="12"/>
      <c r="BD246" s="12"/>
      <c r="BE246" s="12"/>
      <c r="BF246" s="17"/>
      <c r="BG246" s="12"/>
      <c r="BH246" s="12"/>
      <c r="BJ246" s="12"/>
      <c r="BK246" s="12"/>
      <c r="BM246" s="12"/>
      <c r="BN246" s="12"/>
      <c r="BO246" s="17"/>
      <c r="BQ246" s="12"/>
      <c r="BR246" s="12"/>
      <c r="BU246" s="12"/>
      <c r="BV246" s="12"/>
      <c r="BY246" s="12"/>
      <c r="BZ246" s="12"/>
      <c r="CC246" s="12"/>
      <c r="CD246" s="12"/>
      <c r="CE246"/>
      <c r="CG246" s="12"/>
      <c r="CH246" s="12"/>
      <c r="CJ246" s="12"/>
      <c r="CK246" s="12"/>
      <c r="CN246" s="12"/>
      <c r="CO246" s="12"/>
      <c r="CT246"/>
      <c r="CV246" s="12"/>
      <c r="CW246" s="12"/>
      <c r="CZ246" s="12"/>
      <c r="DA246" s="12"/>
      <c r="DC246" s="12"/>
      <c r="DD246" s="12"/>
      <c r="DF246" s="17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X246" s="9"/>
      <c r="EY246" s="9"/>
      <c r="EZ246" s="9"/>
      <c r="FA246" s="15"/>
      <c r="FB246" s="14"/>
      <c r="FC246" s="10"/>
      <c r="FD246" s="10"/>
      <c r="FE246" s="10"/>
      <c r="FF246" s="10"/>
      <c r="FG246" s="10"/>
      <c r="FH246" s="10"/>
    </row>
    <row r="247" spans="2:164" x14ac:dyDescent="0.25">
      <c r="B247"/>
      <c r="C247"/>
      <c r="D247"/>
      <c r="E247"/>
      <c r="F247" s="16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 s="16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 s="12"/>
      <c r="AK247" s="12"/>
      <c r="AL247" s="17"/>
      <c r="AN247" s="17"/>
      <c r="AP247" s="17"/>
      <c r="AQ247" s="12"/>
      <c r="AR247" s="12"/>
      <c r="AS247" s="17"/>
      <c r="AT247" s="17"/>
      <c r="AU247" s="12"/>
      <c r="AV247" s="12"/>
      <c r="AW247" s="17"/>
      <c r="AX247" s="12"/>
      <c r="AY247" s="12"/>
      <c r="BA247" s="12"/>
      <c r="BB247" s="12"/>
      <c r="BD247" s="12"/>
      <c r="BE247" s="12"/>
      <c r="BF247" s="17"/>
      <c r="BG247" s="12"/>
      <c r="BH247" s="12"/>
      <c r="BJ247" s="12"/>
      <c r="BK247" s="12"/>
      <c r="BM247" s="12"/>
      <c r="BN247" s="12"/>
      <c r="BO247" s="17"/>
      <c r="BQ247" s="12"/>
      <c r="BR247" s="12"/>
      <c r="BU247" s="12"/>
      <c r="BV247" s="12"/>
      <c r="BY247" s="12"/>
      <c r="BZ247" s="12"/>
      <c r="CC247" s="12"/>
      <c r="CD247" s="12"/>
      <c r="CE247"/>
      <c r="CG247" s="12"/>
      <c r="CH247" s="12"/>
      <c r="CJ247" s="12"/>
      <c r="CK247" s="12"/>
      <c r="CN247" s="12"/>
      <c r="CO247" s="12"/>
      <c r="CT247"/>
      <c r="CV247" s="12"/>
      <c r="CW247" s="12"/>
      <c r="CX247" s="17"/>
      <c r="CZ247" s="12"/>
      <c r="DA247" s="12"/>
      <c r="DC247" s="12"/>
      <c r="DD247" s="12"/>
      <c r="DF247" s="1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X247" s="9"/>
      <c r="EY247" s="9"/>
      <c r="EZ247" s="9"/>
      <c r="FA247" s="15"/>
      <c r="FB247" s="14"/>
      <c r="FC247" s="10"/>
      <c r="FD247" s="10"/>
      <c r="FE247" s="10"/>
      <c r="FF247" s="10"/>
      <c r="FG247" s="10"/>
      <c r="FH247" s="10"/>
    </row>
    <row r="248" spans="2:164" x14ac:dyDescent="0.25">
      <c r="B248"/>
      <c r="C248"/>
      <c r="D248"/>
      <c r="E248"/>
      <c r="F248" s="16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 s="16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 s="12"/>
      <c r="AK248" s="12"/>
      <c r="AL248" s="17"/>
      <c r="AN248" s="17"/>
      <c r="AP248" s="17"/>
      <c r="AQ248" s="12"/>
      <c r="AR248" s="12"/>
      <c r="AS248" s="17"/>
      <c r="AT248" s="17"/>
      <c r="AU248" s="12"/>
      <c r="AV248" s="12"/>
      <c r="AW248" s="17"/>
      <c r="AX248" s="12"/>
      <c r="AY248" s="12"/>
      <c r="BA248" s="12"/>
      <c r="BB248" s="12"/>
      <c r="BD248" s="12"/>
      <c r="BE248" s="12"/>
      <c r="BF248" s="17"/>
      <c r="BG248" s="12"/>
      <c r="BH248" s="12"/>
      <c r="BJ248" s="12"/>
      <c r="BK248" s="12"/>
      <c r="BM248" s="12"/>
      <c r="BN248" s="12"/>
      <c r="BO248" s="17"/>
      <c r="BQ248" s="12"/>
      <c r="BR248" s="12"/>
      <c r="BU248" s="12"/>
      <c r="BV248" s="12"/>
      <c r="BY248" s="12"/>
      <c r="BZ248" s="12"/>
      <c r="CC248" s="12"/>
      <c r="CD248" s="12"/>
      <c r="CE248"/>
      <c r="CG248" s="12"/>
      <c r="CH248" s="12"/>
      <c r="CJ248" s="12"/>
      <c r="CK248" s="12"/>
      <c r="CN248" s="12"/>
      <c r="CO248" s="12"/>
      <c r="CT248"/>
      <c r="CV248" s="12"/>
      <c r="CW248" s="12"/>
      <c r="CZ248" s="12"/>
      <c r="DA248" s="12"/>
      <c r="DC248" s="12"/>
      <c r="DD248" s="12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X248" s="9"/>
      <c r="EY248" s="9"/>
      <c r="EZ248" s="9"/>
      <c r="FA248" s="15"/>
      <c r="FB248" s="14"/>
      <c r="FC248" s="10"/>
      <c r="FD248" s="10"/>
      <c r="FE248" s="10"/>
      <c r="FF248" s="10"/>
      <c r="FG248" s="10"/>
      <c r="FH248" s="10"/>
    </row>
    <row r="249" spans="2:164" x14ac:dyDescent="0.25">
      <c r="B249"/>
      <c r="C249"/>
      <c r="D249"/>
      <c r="E249"/>
      <c r="F249" s="16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 s="16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 s="12"/>
      <c r="AK249" s="12"/>
      <c r="AL249" s="17"/>
      <c r="AN249" s="17"/>
      <c r="AP249" s="17"/>
      <c r="AQ249" s="12"/>
      <c r="AR249" s="12"/>
      <c r="AS249" s="17"/>
      <c r="AT249" s="17"/>
      <c r="AU249" s="12"/>
      <c r="AV249" s="12"/>
      <c r="AW249" s="17"/>
      <c r="AX249" s="12"/>
      <c r="AY249" s="12"/>
      <c r="BA249" s="12"/>
      <c r="BB249" s="12"/>
      <c r="BD249" s="12"/>
      <c r="BE249" s="12"/>
      <c r="BF249" s="17"/>
      <c r="BG249" s="12"/>
      <c r="BH249" s="12"/>
      <c r="BJ249" s="12"/>
      <c r="BK249" s="12"/>
      <c r="BM249" s="12"/>
      <c r="BN249" s="12"/>
      <c r="BO249" s="17"/>
      <c r="BQ249" s="12"/>
      <c r="BR249" s="12"/>
      <c r="BU249" s="12"/>
      <c r="BV249" s="12"/>
      <c r="BY249" s="12"/>
      <c r="BZ249" s="12"/>
      <c r="CC249" s="12"/>
      <c r="CD249" s="12"/>
      <c r="CE249"/>
      <c r="CG249" s="12"/>
      <c r="CH249" s="12"/>
      <c r="CJ249" s="12"/>
      <c r="CK249" s="12"/>
      <c r="CN249" s="12"/>
      <c r="CO249" s="12"/>
      <c r="CT249"/>
      <c r="CV249" s="12"/>
      <c r="CW249" s="12"/>
      <c r="CZ249" s="12"/>
      <c r="DA249" s="12"/>
      <c r="DC249" s="12"/>
      <c r="DD249" s="12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X249" s="9"/>
      <c r="EY249" s="9"/>
      <c r="EZ249" s="9"/>
      <c r="FA249" s="15"/>
      <c r="FB249" s="14"/>
      <c r="FC249" s="10"/>
      <c r="FD249" s="10"/>
      <c r="FE249" s="10"/>
      <c r="FF249" s="10"/>
      <c r="FG249" s="10"/>
      <c r="FH249" s="10"/>
    </row>
    <row r="250" spans="2:164" x14ac:dyDescent="0.25">
      <c r="B250"/>
      <c r="C250"/>
      <c r="D250"/>
      <c r="E250"/>
      <c r="F250" s="16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 s="16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 s="12"/>
      <c r="AK250" s="12"/>
      <c r="AL250" s="17"/>
      <c r="AN250" s="17"/>
      <c r="AP250" s="17"/>
      <c r="AQ250" s="12"/>
      <c r="AR250" s="12"/>
      <c r="AS250" s="17"/>
      <c r="AT250" s="17"/>
      <c r="AU250" s="12"/>
      <c r="AV250" s="12"/>
      <c r="AW250" s="17"/>
      <c r="AX250" s="12"/>
      <c r="AY250" s="12"/>
      <c r="BA250" s="12"/>
      <c r="BB250" s="12"/>
      <c r="BD250" s="12"/>
      <c r="BE250" s="12"/>
      <c r="BF250" s="17"/>
      <c r="BG250" s="12"/>
      <c r="BH250" s="12"/>
      <c r="BJ250" s="12"/>
      <c r="BK250" s="12"/>
      <c r="BM250" s="12"/>
      <c r="BN250" s="12"/>
      <c r="BO250" s="17"/>
      <c r="BQ250" s="12"/>
      <c r="BR250" s="12"/>
      <c r="BU250" s="12"/>
      <c r="BV250" s="12"/>
      <c r="BY250" s="12"/>
      <c r="BZ250" s="12"/>
      <c r="CC250" s="12"/>
      <c r="CD250" s="12"/>
      <c r="CE250"/>
      <c r="CG250" s="12"/>
      <c r="CH250" s="12"/>
      <c r="CJ250" s="12"/>
      <c r="CK250" s="12"/>
      <c r="CN250" s="12"/>
      <c r="CO250" s="12"/>
      <c r="CT250"/>
      <c r="CV250" s="12"/>
      <c r="CW250" s="12"/>
      <c r="CZ250" s="12"/>
      <c r="DA250" s="12"/>
      <c r="DC250" s="12"/>
      <c r="DD250" s="12"/>
      <c r="DE250" s="17"/>
      <c r="DF250" s="17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X250" s="9"/>
      <c r="EY250" s="9"/>
      <c r="EZ250" s="9"/>
      <c r="FA250" s="15"/>
      <c r="FB250" s="14"/>
      <c r="FC250" s="10"/>
      <c r="FD250" s="10"/>
      <c r="FE250" s="10"/>
      <c r="FF250" s="10"/>
      <c r="FG250" s="10"/>
      <c r="FH250" s="10"/>
    </row>
    <row r="251" spans="2:164" x14ac:dyDescent="0.25">
      <c r="B251"/>
      <c r="C251"/>
      <c r="D251"/>
      <c r="E251"/>
      <c r="F251" s="16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 s="16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 s="12"/>
      <c r="AK251" s="12"/>
      <c r="AL251" s="17"/>
      <c r="AN251" s="17"/>
      <c r="AP251" s="17"/>
      <c r="AQ251" s="12"/>
      <c r="AR251" s="12"/>
      <c r="AS251" s="17"/>
      <c r="AT251" s="17"/>
      <c r="AU251" s="12"/>
      <c r="AV251" s="12"/>
      <c r="AW251" s="17"/>
      <c r="AX251" s="12"/>
      <c r="AY251" s="12"/>
      <c r="BA251" s="12"/>
      <c r="BB251" s="12"/>
      <c r="BD251" s="12"/>
      <c r="BE251" s="12"/>
      <c r="BF251" s="17"/>
      <c r="BG251" s="12"/>
      <c r="BH251" s="12"/>
      <c r="BJ251" s="12"/>
      <c r="BK251" s="12"/>
      <c r="BM251" s="12"/>
      <c r="BN251" s="12"/>
      <c r="BO251" s="17"/>
      <c r="BQ251" s="12"/>
      <c r="BR251" s="12"/>
      <c r="BU251" s="12"/>
      <c r="BV251" s="12"/>
      <c r="BY251" s="12"/>
      <c r="BZ251" s="12"/>
      <c r="CC251" s="12"/>
      <c r="CD251" s="12"/>
      <c r="CE251"/>
      <c r="CG251" s="12"/>
      <c r="CH251" s="12"/>
      <c r="CJ251" s="12"/>
      <c r="CK251" s="12"/>
      <c r="CN251" s="12"/>
      <c r="CO251" s="12"/>
      <c r="CT251"/>
      <c r="CV251" s="12"/>
      <c r="CW251" s="12"/>
      <c r="CZ251" s="12"/>
      <c r="DA251" s="12"/>
      <c r="DC251" s="12"/>
      <c r="DD251" s="12"/>
      <c r="DE251" s="17"/>
      <c r="DF251" s="17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X251" s="9"/>
      <c r="EY251" s="9"/>
      <c r="EZ251" s="9"/>
      <c r="FA251" s="15"/>
      <c r="FB251" s="14"/>
      <c r="FC251" s="10"/>
      <c r="FD251" s="10"/>
      <c r="FE251" s="10"/>
      <c r="FF251" s="10"/>
      <c r="FG251" s="10"/>
      <c r="FH251" s="10"/>
    </row>
    <row r="252" spans="2:164" x14ac:dyDescent="0.25">
      <c r="B252"/>
      <c r="C252"/>
      <c r="D252"/>
      <c r="E252"/>
      <c r="F252" s="16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 s="16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 s="12"/>
      <c r="AK252" s="12"/>
      <c r="AL252" s="17"/>
      <c r="AN252" s="17"/>
      <c r="AP252" s="17"/>
      <c r="AQ252" s="12"/>
      <c r="AR252" s="12"/>
      <c r="AS252" s="17"/>
      <c r="AT252" s="17"/>
      <c r="AU252" s="12"/>
      <c r="AV252" s="12"/>
      <c r="AW252" s="17"/>
      <c r="AX252" s="12"/>
      <c r="AY252" s="12"/>
      <c r="BA252" s="12"/>
      <c r="BB252" s="12"/>
      <c r="BD252" s="12"/>
      <c r="BE252" s="12"/>
      <c r="BF252" s="17"/>
      <c r="BG252" s="12"/>
      <c r="BH252" s="12"/>
      <c r="BJ252" s="12"/>
      <c r="BK252" s="12"/>
      <c r="BM252" s="12"/>
      <c r="BN252" s="12"/>
      <c r="BO252" s="17"/>
      <c r="BQ252" s="12"/>
      <c r="BR252" s="12"/>
      <c r="BU252" s="12"/>
      <c r="BV252" s="12"/>
      <c r="BY252" s="12"/>
      <c r="BZ252" s="12"/>
      <c r="CC252" s="12"/>
      <c r="CD252" s="12"/>
      <c r="CE252"/>
      <c r="CG252" s="12"/>
      <c r="CH252" s="12"/>
      <c r="CJ252" s="12"/>
      <c r="CK252" s="12"/>
      <c r="CN252" s="12"/>
      <c r="CO252" s="12"/>
      <c r="CT252"/>
      <c r="CV252" s="12"/>
      <c r="CW252" s="12"/>
      <c r="CZ252" s="12"/>
      <c r="DA252" s="12"/>
      <c r="DB252" s="17"/>
      <c r="DC252" s="12"/>
      <c r="DD252" s="12"/>
      <c r="DE252" s="17"/>
      <c r="DF252" s="17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X252" s="9"/>
      <c r="EY252" s="9"/>
      <c r="EZ252" s="9"/>
      <c r="FA252" s="15"/>
      <c r="FB252" s="14"/>
      <c r="FC252" s="10"/>
      <c r="FD252" s="10"/>
      <c r="FE252" s="10"/>
      <c r="FF252" s="10"/>
      <c r="FG252" s="10"/>
      <c r="FH252" s="10"/>
    </row>
    <row r="253" spans="2:164" x14ac:dyDescent="0.25">
      <c r="B253"/>
      <c r="C253"/>
      <c r="D253"/>
      <c r="E253"/>
      <c r="F253" s="16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 s="16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 s="12"/>
      <c r="AK253" s="12"/>
      <c r="AL253" s="17"/>
      <c r="AN253" s="17"/>
      <c r="AP253" s="17"/>
      <c r="AQ253" s="12"/>
      <c r="AR253" s="12"/>
      <c r="AS253" s="17"/>
      <c r="AT253" s="17"/>
      <c r="AU253" s="12"/>
      <c r="AV253" s="12"/>
      <c r="AW253" s="17"/>
      <c r="AX253" s="12"/>
      <c r="AY253" s="12"/>
      <c r="BA253" s="12"/>
      <c r="BB253" s="12"/>
      <c r="BD253" s="12"/>
      <c r="BE253" s="12"/>
      <c r="BF253" s="17"/>
      <c r="BG253" s="12"/>
      <c r="BH253" s="12"/>
      <c r="BJ253" s="12"/>
      <c r="BK253" s="12"/>
      <c r="BM253" s="12"/>
      <c r="BN253" s="12"/>
      <c r="BO253" s="17"/>
      <c r="BQ253" s="12"/>
      <c r="BR253" s="12"/>
      <c r="BU253" s="12"/>
      <c r="BV253" s="12"/>
      <c r="BY253" s="12"/>
      <c r="BZ253" s="12"/>
      <c r="CC253" s="12"/>
      <c r="CD253" s="12"/>
      <c r="CE253"/>
      <c r="CG253" s="12"/>
      <c r="CH253" s="12"/>
      <c r="CJ253" s="12"/>
      <c r="CK253" s="12"/>
      <c r="CN253" s="12"/>
      <c r="CO253" s="12"/>
      <c r="CT253"/>
      <c r="CV253" s="12"/>
      <c r="CW253" s="12"/>
      <c r="CZ253" s="12"/>
      <c r="DA253" s="12"/>
      <c r="DC253" s="12"/>
      <c r="DD253" s="12"/>
      <c r="DF253" s="17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X253" s="9"/>
      <c r="EY253" s="9"/>
      <c r="EZ253" s="9"/>
      <c r="FA253" s="15"/>
      <c r="FB253" s="14"/>
      <c r="FC253" s="10"/>
      <c r="FD253" s="10"/>
      <c r="FE253" s="10"/>
      <c r="FF253" s="10"/>
      <c r="FG253" s="10"/>
      <c r="FH253" s="10"/>
    </row>
    <row r="254" spans="2:164" x14ac:dyDescent="0.25">
      <c r="B254"/>
      <c r="C254"/>
      <c r="D254"/>
      <c r="E254"/>
      <c r="F254" s="16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 s="16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 s="12"/>
      <c r="AK254" s="12"/>
      <c r="AL254" s="17"/>
      <c r="AN254" s="17"/>
      <c r="AP254" s="17"/>
      <c r="AQ254" s="12"/>
      <c r="AR254" s="12"/>
      <c r="AS254" s="17"/>
      <c r="AT254" s="17"/>
      <c r="AU254" s="12"/>
      <c r="AV254" s="12"/>
      <c r="AW254" s="17"/>
      <c r="AX254" s="12"/>
      <c r="AY254" s="12"/>
      <c r="BA254" s="12"/>
      <c r="BB254" s="12"/>
      <c r="BD254" s="12"/>
      <c r="BE254" s="12"/>
      <c r="BF254" s="17"/>
      <c r="BG254" s="12"/>
      <c r="BH254" s="12"/>
      <c r="BJ254" s="12"/>
      <c r="BK254" s="12"/>
      <c r="BM254" s="12"/>
      <c r="BN254" s="12"/>
      <c r="BO254" s="17"/>
      <c r="BQ254" s="12"/>
      <c r="BR254" s="12"/>
      <c r="BU254" s="12"/>
      <c r="BV254" s="12"/>
      <c r="BY254" s="12"/>
      <c r="BZ254" s="12"/>
      <c r="CC254" s="12"/>
      <c r="CD254" s="12"/>
      <c r="CE254"/>
      <c r="CG254" s="12"/>
      <c r="CH254" s="12"/>
      <c r="CJ254" s="12"/>
      <c r="CK254" s="12"/>
      <c r="CN254" s="12"/>
      <c r="CO254" s="12"/>
      <c r="CT254"/>
      <c r="CV254" s="12"/>
      <c r="CW254" s="12"/>
      <c r="CZ254" s="12"/>
      <c r="DA254" s="12"/>
      <c r="DC254" s="12"/>
      <c r="DD254" s="12"/>
      <c r="DE254" s="17"/>
      <c r="DF254" s="17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X254" s="9"/>
      <c r="EY254" s="9"/>
      <c r="EZ254" s="9"/>
      <c r="FA254" s="15"/>
      <c r="FB254" s="14"/>
      <c r="FC254" s="10"/>
      <c r="FD254" s="10"/>
      <c r="FE254" s="10"/>
      <c r="FF254" s="10"/>
      <c r="FG254" s="10"/>
      <c r="FH254" s="10"/>
    </row>
    <row r="255" spans="2:164" x14ac:dyDescent="0.25">
      <c r="B255"/>
      <c r="C255"/>
      <c r="D255"/>
      <c r="E255"/>
      <c r="F255" s="16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 s="16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 s="12"/>
      <c r="AK255" s="12"/>
      <c r="AL255" s="17"/>
      <c r="AN255" s="17"/>
      <c r="AP255" s="17"/>
      <c r="AQ255" s="12"/>
      <c r="AR255" s="12"/>
      <c r="AS255" s="17"/>
      <c r="AT255" s="17"/>
      <c r="AU255" s="12"/>
      <c r="AV255" s="12"/>
      <c r="AW255" s="17"/>
      <c r="AX255" s="12"/>
      <c r="AY255" s="12"/>
      <c r="BA255" s="12"/>
      <c r="BB255" s="12"/>
      <c r="BD255" s="12"/>
      <c r="BE255" s="12"/>
      <c r="BF255" s="17"/>
      <c r="BG255" s="12"/>
      <c r="BH255" s="12"/>
      <c r="BJ255" s="12"/>
      <c r="BK255" s="12"/>
      <c r="BM255" s="12"/>
      <c r="BN255" s="12"/>
      <c r="BO255" s="17"/>
      <c r="BQ255" s="12"/>
      <c r="BR255" s="12"/>
      <c r="BU255" s="12"/>
      <c r="BV255" s="12"/>
      <c r="BY255" s="12"/>
      <c r="BZ255" s="12"/>
      <c r="CC255" s="12"/>
      <c r="CD255" s="12"/>
      <c r="CE255"/>
      <c r="CG255" s="12"/>
      <c r="CH255" s="12"/>
      <c r="CJ255" s="12"/>
      <c r="CK255" s="12"/>
      <c r="CN255" s="12"/>
      <c r="CO255" s="12"/>
      <c r="CT255"/>
      <c r="CV255" s="12"/>
      <c r="CW255" s="12"/>
      <c r="CX255" s="17"/>
      <c r="CZ255" s="12"/>
      <c r="DA255" s="12"/>
      <c r="DC255" s="12"/>
      <c r="DD255" s="12"/>
      <c r="DE255" s="17"/>
      <c r="DF255" s="17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X255" s="9"/>
      <c r="EY255" s="9"/>
      <c r="EZ255" s="9"/>
      <c r="FA255" s="15"/>
      <c r="FB255" s="14"/>
      <c r="FC255" s="10"/>
      <c r="FD255" s="10"/>
      <c r="FE255" s="10"/>
      <c r="FF255" s="10"/>
      <c r="FG255" s="10"/>
      <c r="FH255" s="10"/>
    </row>
    <row r="256" spans="2:164" x14ac:dyDescent="0.25">
      <c r="B256"/>
      <c r="C256"/>
      <c r="D256"/>
      <c r="E256"/>
      <c r="F256" s="1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 s="1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 s="12"/>
      <c r="AK256" s="12"/>
      <c r="AL256" s="17"/>
      <c r="AN256" s="17"/>
      <c r="AP256" s="17"/>
      <c r="AQ256" s="12"/>
      <c r="AR256" s="12"/>
      <c r="AS256" s="17"/>
      <c r="AT256" s="17"/>
      <c r="AU256" s="12"/>
      <c r="AV256" s="12"/>
      <c r="AW256" s="17"/>
      <c r="AX256" s="12"/>
      <c r="AY256" s="12"/>
      <c r="BA256" s="12"/>
      <c r="BB256" s="12"/>
      <c r="BD256" s="12"/>
      <c r="BE256" s="12"/>
      <c r="BF256" s="17"/>
      <c r="BG256" s="12"/>
      <c r="BH256" s="12"/>
      <c r="BJ256" s="12"/>
      <c r="BK256" s="12"/>
      <c r="BM256" s="12"/>
      <c r="BN256" s="12"/>
      <c r="BO256" s="17"/>
      <c r="BQ256" s="12"/>
      <c r="BR256" s="12"/>
      <c r="BU256" s="12"/>
      <c r="BV256" s="12"/>
      <c r="BY256" s="12"/>
      <c r="BZ256" s="12"/>
      <c r="CC256" s="12"/>
      <c r="CD256" s="12"/>
      <c r="CE256"/>
      <c r="CG256" s="12"/>
      <c r="CH256" s="12"/>
      <c r="CJ256" s="12"/>
      <c r="CK256" s="12"/>
      <c r="CN256" s="12"/>
      <c r="CO256" s="12"/>
      <c r="CT256"/>
      <c r="CV256" s="12"/>
      <c r="CW256" s="12"/>
      <c r="CZ256" s="12"/>
      <c r="DA256" s="12"/>
      <c r="DC256" s="12"/>
      <c r="DD256" s="12"/>
      <c r="DF256" s="17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X256" s="9"/>
      <c r="EY256" s="9"/>
      <c r="EZ256" s="9"/>
      <c r="FA256" s="15"/>
      <c r="FB256" s="14"/>
      <c r="FC256" s="10"/>
      <c r="FD256" s="10"/>
      <c r="FE256" s="10"/>
      <c r="FF256" s="10"/>
      <c r="FG256" s="10"/>
      <c r="FH256" s="10"/>
    </row>
    <row r="257" spans="2:164" x14ac:dyDescent="0.25">
      <c r="B257"/>
      <c r="C257"/>
      <c r="D257"/>
      <c r="E257"/>
      <c r="F257" s="16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 s="16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 s="12"/>
      <c r="AK257" s="12"/>
      <c r="AL257" s="17"/>
      <c r="AN257" s="17"/>
      <c r="AP257" s="17"/>
      <c r="AQ257" s="12"/>
      <c r="AR257" s="12"/>
      <c r="AS257" s="17"/>
      <c r="AT257" s="17"/>
      <c r="AU257" s="12"/>
      <c r="AV257" s="12"/>
      <c r="AW257" s="17"/>
      <c r="AX257" s="12"/>
      <c r="AY257" s="12"/>
      <c r="BA257" s="12"/>
      <c r="BB257" s="12"/>
      <c r="BD257" s="12"/>
      <c r="BE257" s="12"/>
      <c r="BF257" s="17"/>
      <c r="BG257" s="12"/>
      <c r="BH257" s="12"/>
      <c r="BJ257" s="12"/>
      <c r="BK257" s="12"/>
      <c r="BM257" s="12"/>
      <c r="BN257" s="12"/>
      <c r="BO257" s="17"/>
      <c r="BQ257" s="12"/>
      <c r="BR257" s="12"/>
      <c r="BU257" s="12"/>
      <c r="BV257" s="12"/>
      <c r="BY257" s="12"/>
      <c r="BZ257" s="12"/>
      <c r="CC257" s="12"/>
      <c r="CD257" s="12"/>
      <c r="CE257"/>
      <c r="CG257" s="12"/>
      <c r="CH257" s="12"/>
      <c r="CJ257" s="12"/>
      <c r="CK257" s="12"/>
      <c r="CN257" s="12"/>
      <c r="CO257" s="12"/>
      <c r="CT257"/>
      <c r="CV257" s="12"/>
      <c r="CW257" s="12"/>
      <c r="CZ257" s="12"/>
      <c r="DA257" s="12"/>
      <c r="DB257" s="17"/>
      <c r="DC257" s="12"/>
      <c r="DD257" s="12"/>
      <c r="DE257" s="17"/>
      <c r="DF257" s="1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X257" s="9"/>
      <c r="EY257" s="9"/>
      <c r="EZ257" s="9"/>
      <c r="FA257" s="15"/>
      <c r="FB257" s="14"/>
      <c r="FC257" s="10"/>
      <c r="FD257" s="10"/>
      <c r="FE257" s="10"/>
      <c r="FF257" s="10"/>
      <c r="FG257" s="10"/>
      <c r="FH257" s="10"/>
    </row>
    <row r="258" spans="2:164" x14ac:dyDescent="0.25">
      <c r="B258"/>
      <c r="C258"/>
      <c r="D258"/>
      <c r="E258"/>
      <c r="F258" s="16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 s="16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 s="12"/>
      <c r="AK258" s="12"/>
      <c r="AL258" s="17"/>
      <c r="AN258" s="17"/>
      <c r="AP258" s="17"/>
      <c r="AQ258" s="12"/>
      <c r="AR258" s="12"/>
      <c r="AS258" s="17"/>
      <c r="AT258" s="17"/>
      <c r="AU258" s="12"/>
      <c r="AV258" s="12"/>
      <c r="AW258" s="17"/>
      <c r="AX258" s="12"/>
      <c r="AY258" s="12"/>
      <c r="BA258" s="12"/>
      <c r="BB258" s="12"/>
      <c r="BD258" s="12"/>
      <c r="BE258" s="12"/>
      <c r="BF258" s="17"/>
      <c r="BG258" s="12"/>
      <c r="BH258" s="12"/>
      <c r="BJ258" s="12"/>
      <c r="BK258" s="12"/>
      <c r="BM258" s="12"/>
      <c r="BN258" s="12"/>
      <c r="BO258" s="17"/>
      <c r="BQ258" s="12"/>
      <c r="BR258" s="12"/>
      <c r="BU258" s="12"/>
      <c r="BV258" s="12"/>
      <c r="BY258" s="12"/>
      <c r="BZ258" s="12"/>
      <c r="CC258" s="12"/>
      <c r="CD258" s="12"/>
      <c r="CE258"/>
      <c r="CG258" s="12"/>
      <c r="CH258" s="12"/>
      <c r="CJ258" s="12"/>
      <c r="CK258" s="12"/>
      <c r="CN258" s="12"/>
      <c r="CO258" s="12"/>
      <c r="CT258"/>
      <c r="CV258" s="12"/>
      <c r="CW258" s="12"/>
      <c r="CZ258" s="12"/>
      <c r="DA258" s="12"/>
      <c r="DC258" s="12"/>
      <c r="DD258" s="12"/>
      <c r="DF258" s="17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X258" s="9"/>
      <c r="EY258" s="9"/>
      <c r="EZ258" s="9"/>
      <c r="FA258" s="15"/>
      <c r="FB258" s="14"/>
      <c r="FC258" s="10"/>
      <c r="FD258" s="10"/>
      <c r="FE258" s="10"/>
      <c r="FF258" s="10"/>
      <c r="FG258" s="10"/>
      <c r="FH258" s="10"/>
    </row>
    <row r="259" spans="2:164" x14ac:dyDescent="0.25">
      <c r="B259"/>
      <c r="C259"/>
      <c r="D259"/>
      <c r="E259"/>
      <c r="F259" s="16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 s="16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 s="12"/>
      <c r="AK259" s="12"/>
      <c r="AL259" s="17"/>
      <c r="AN259" s="17"/>
      <c r="AP259" s="17"/>
      <c r="AQ259" s="12"/>
      <c r="AR259" s="12"/>
      <c r="AS259" s="17"/>
      <c r="AT259" s="17"/>
      <c r="AU259" s="12"/>
      <c r="AV259" s="12"/>
      <c r="AW259" s="17"/>
      <c r="AX259" s="12"/>
      <c r="AY259" s="12"/>
      <c r="BA259" s="12"/>
      <c r="BB259" s="12"/>
      <c r="BD259" s="12"/>
      <c r="BE259" s="12"/>
      <c r="BF259" s="17"/>
      <c r="BG259" s="12"/>
      <c r="BH259" s="12"/>
      <c r="BJ259" s="12"/>
      <c r="BK259" s="12"/>
      <c r="BM259" s="12"/>
      <c r="BN259" s="12"/>
      <c r="BO259" s="17"/>
      <c r="BQ259" s="12"/>
      <c r="BR259" s="12"/>
      <c r="BU259" s="12"/>
      <c r="BV259" s="12"/>
      <c r="BY259" s="12"/>
      <c r="BZ259" s="12"/>
      <c r="CC259" s="12"/>
      <c r="CD259" s="12"/>
      <c r="CE259"/>
      <c r="CG259" s="12"/>
      <c r="CH259" s="12"/>
      <c r="CJ259" s="12"/>
      <c r="CK259" s="12"/>
      <c r="CN259" s="12"/>
      <c r="CO259" s="12"/>
      <c r="CT259"/>
      <c r="CV259" s="12"/>
      <c r="CW259" s="12"/>
      <c r="CZ259" s="12"/>
      <c r="DA259" s="12"/>
      <c r="DC259" s="12"/>
      <c r="DD259" s="12"/>
      <c r="DF259" s="17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X259" s="9"/>
      <c r="EY259" s="9"/>
      <c r="EZ259" s="9"/>
      <c r="FA259" s="15"/>
      <c r="FB259" s="14"/>
      <c r="FC259" s="10"/>
      <c r="FD259" s="10"/>
      <c r="FE259" s="10"/>
      <c r="FF259" s="10"/>
      <c r="FG259" s="10"/>
      <c r="FH259" s="10"/>
    </row>
    <row r="260" spans="2:164" x14ac:dyDescent="0.25">
      <c r="B260"/>
      <c r="C260"/>
      <c r="D260"/>
      <c r="E260"/>
      <c r="F260" s="16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 s="16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 s="12"/>
      <c r="AK260" s="12"/>
      <c r="AL260" s="17"/>
      <c r="AN260" s="17"/>
      <c r="AP260" s="17"/>
      <c r="AQ260" s="12"/>
      <c r="AR260" s="12"/>
      <c r="AS260" s="17"/>
      <c r="AT260" s="17"/>
      <c r="AU260" s="12"/>
      <c r="AV260" s="12"/>
      <c r="AW260" s="17"/>
      <c r="AX260" s="12"/>
      <c r="AY260" s="12"/>
      <c r="BA260" s="12"/>
      <c r="BB260" s="12"/>
      <c r="BD260" s="12"/>
      <c r="BE260" s="12"/>
      <c r="BF260" s="17"/>
      <c r="BG260" s="12"/>
      <c r="BH260" s="12"/>
      <c r="BJ260" s="12"/>
      <c r="BK260" s="12"/>
      <c r="BM260" s="12"/>
      <c r="BN260" s="12"/>
      <c r="BO260" s="17"/>
      <c r="BQ260" s="12"/>
      <c r="BR260" s="12"/>
      <c r="BU260" s="12"/>
      <c r="BV260" s="12"/>
      <c r="BY260" s="12"/>
      <c r="BZ260" s="12"/>
      <c r="CC260" s="12"/>
      <c r="CD260" s="12"/>
      <c r="CE260"/>
      <c r="CG260" s="12"/>
      <c r="CH260" s="12"/>
      <c r="CJ260" s="12"/>
      <c r="CK260" s="12"/>
      <c r="CN260" s="12"/>
      <c r="CO260" s="12"/>
      <c r="CT260"/>
      <c r="CV260" s="12"/>
      <c r="CW260" s="12"/>
      <c r="CZ260" s="12"/>
      <c r="DA260" s="12"/>
      <c r="DC260" s="12"/>
      <c r="DD260" s="12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X260" s="9"/>
      <c r="EY260" s="9"/>
      <c r="EZ260" s="9"/>
      <c r="FA260" s="15"/>
      <c r="FB260" s="14"/>
      <c r="FC260" s="10"/>
      <c r="FD260" s="10"/>
      <c r="FE260" s="10"/>
      <c r="FF260" s="10"/>
      <c r="FG260" s="10"/>
      <c r="FH260" s="10"/>
    </row>
    <row r="261" spans="2:164" x14ac:dyDescent="0.25">
      <c r="B261"/>
      <c r="C261"/>
      <c r="D261"/>
      <c r="E261"/>
      <c r="F261" s="16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 s="16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 s="12"/>
      <c r="AK261" s="12"/>
      <c r="AL261" s="17"/>
      <c r="AN261" s="17"/>
      <c r="AP261" s="17"/>
      <c r="AQ261" s="12"/>
      <c r="AR261" s="12"/>
      <c r="AS261" s="17"/>
      <c r="AT261" s="17"/>
      <c r="AU261" s="12"/>
      <c r="AV261" s="12"/>
      <c r="AW261" s="17"/>
      <c r="AX261" s="12"/>
      <c r="AY261" s="12"/>
      <c r="BA261" s="12"/>
      <c r="BB261" s="12"/>
      <c r="BD261" s="12"/>
      <c r="BE261" s="12"/>
      <c r="BF261" s="17"/>
      <c r="BG261" s="12"/>
      <c r="BH261" s="12"/>
      <c r="BJ261" s="12"/>
      <c r="BK261" s="12"/>
      <c r="BM261" s="12"/>
      <c r="BN261" s="12"/>
      <c r="BO261" s="17"/>
      <c r="BQ261" s="12"/>
      <c r="BR261" s="12"/>
      <c r="BU261" s="12"/>
      <c r="BV261" s="12"/>
      <c r="BY261" s="12"/>
      <c r="BZ261" s="12"/>
      <c r="CC261" s="12"/>
      <c r="CD261" s="12"/>
      <c r="CE261"/>
      <c r="CG261" s="12"/>
      <c r="CH261" s="12"/>
      <c r="CJ261" s="12"/>
      <c r="CK261" s="12"/>
      <c r="CN261" s="12"/>
      <c r="CO261" s="12"/>
      <c r="CT261"/>
      <c r="CV261" s="12"/>
      <c r="CW261" s="12"/>
      <c r="CZ261" s="12"/>
      <c r="DA261" s="12"/>
      <c r="DC261" s="12"/>
      <c r="DD261" s="12"/>
      <c r="DE261" s="17"/>
      <c r="DF261" s="17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X261" s="9"/>
      <c r="EY261" s="9"/>
      <c r="EZ261" s="9"/>
      <c r="FA261" s="15"/>
      <c r="FB261" s="14"/>
      <c r="FC261" s="10"/>
      <c r="FD261" s="10"/>
      <c r="FE261" s="10"/>
      <c r="FF261" s="10"/>
      <c r="FG261" s="10"/>
      <c r="FH261" s="10"/>
    </row>
    <row r="262" spans="2:164" x14ac:dyDescent="0.25">
      <c r="B262"/>
      <c r="C262"/>
      <c r="D262"/>
      <c r="E262"/>
      <c r="F262" s="16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 s="16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 s="12"/>
      <c r="AK262" s="12"/>
      <c r="AL262" s="17"/>
      <c r="AN262" s="17"/>
      <c r="AP262" s="17"/>
      <c r="AQ262" s="12"/>
      <c r="AR262" s="12"/>
      <c r="AS262" s="17"/>
      <c r="AT262" s="17"/>
      <c r="AU262" s="12"/>
      <c r="AV262" s="12"/>
      <c r="AW262" s="17"/>
      <c r="AX262" s="12"/>
      <c r="AY262" s="12"/>
      <c r="BA262" s="12"/>
      <c r="BB262" s="12"/>
      <c r="BD262" s="12"/>
      <c r="BE262" s="12"/>
      <c r="BF262" s="17"/>
      <c r="BG262" s="12"/>
      <c r="BH262" s="12"/>
      <c r="BJ262" s="12"/>
      <c r="BK262" s="12"/>
      <c r="BM262" s="12"/>
      <c r="BN262" s="12"/>
      <c r="BO262" s="17"/>
      <c r="BQ262" s="12"/>
      <c r="BR262" s="12"/>
      <c r="BU262" s="12"/>
      <c r="BV262" s="12"/>
      <c r="BY262" s="12"/>
      <c r="BZ262" s="12"/>
      <c r="CC262" s="12"/>
      <c r="CD262" s="12"/>
      <c r="CE262"/>
      <c r="CG262" s="12"/>
      <c r="CH262" s="12"/>
      <c r="CJ262" s="12"/>
      <c r="CK262" s="12"/>
      <c r="CN262" s="12"/>
      <c r="CO262" s="12"/>
      <c r="CT262"/>
      <c r="CV262" s="12"/>
      <c r="CW262" s="12"/>
      <c r="CZ262" s="12"/>
      <c r="DA262" s="12"/>
      <c r="DC262" s="12"/>
      <c r="DD262" s="12"/>
      <c r="DF262" s="17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X262" s="9"/>
      <c r="EY262" s="9"/>
      <c r="EZ262" s="9"/>
      <c r="FA262" s="15"/>
      <c r="FB262" s="14"/>
      <c r="FC262" s="10"/>
      <c r="FD262" s="10"/>
      <c r="FE262" s="10"/>
      <c r="FF262" s="10"/>
      <c r="FG262" s="10"/>
      <c r="FH262" s="10"/>
    </row>
    <row r="263" spans="2:164" x14ac:dyDescent="0.25">
      <c r="B263"/>
      <c r="C263"/>
      <c r="D263"/>
      <c r="E263"/>
      <c r="F263" s="16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 s="16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 s="12"/>
      <c r="AK263" s="12"/>
      <c r="AL263" s="17"/>
      <c r="AN263" s="17"/>
      <c r="AP263" s="17"/>
      <c r="AQ263" s="12"/>
      <c r="AR263" s="12"/>
      <c r="AS263" s="17"/>
      <c r="AT263" s="17"/>
      <c r="AU263" s="12"/>
      <c r="AV263" s="12"/>
      <c r="AW263" s="17"/>
      <c r="AX263" s="12"/>
      <c r="AY263" s="12"/>
      <c r="BA263" s="12"/>
      <c r="BB263" s="12"/>
      <c r="BD263" s="12"/>
      <c r="BE263" s="12"/>
      <c r="BF263" s="17"/>
      <c r="BG263" s="12"/>
      <c r="BH263" s="12"/>
      <c r="BJ263" s="12"/>
      <c r="BK263" s="12"/>
      <c r="BM263" s="12"/>
      <c r="BN263" s="12"/>
      <c r="BO263" s="17"/>
      <c r="BQ263" s="12"/>
      <c r="BR263" s="12"/>
      <c r="BU263" s="12"/>
      <c r="BV263" s="12"/>
      <c r="BY263" s="12"/>
      <c r="BZ263" s="12"/>
      <c r="CC263" s="12"/>
      <c r="CD263" s="12"/>
      <c r="CE263"/>
      <c r="CG263" s="12"/>
      <c r="CH263" s="12"/>
      <c r="CJ263" s="12"/>
      <c r="CK263" s="12"/>
      <c r="CN263" s="12"/>
      <c r="CO263" s="12"/>
      <c r="CT263"/>
      <c r="CV263" s="12"/>
      <c r="CW263" s="12"/>
      <c r="CX263" s="17"/>
      <c r="CZ263" s="12"/>
      <c r="DA263" s="12"/>
      <c r="DC263" s="12"/>
      <c r="DD263" s="12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X263" s="9"/>
      <c r="EY263" s="9"/>
      <c r="EZ263" s="9"/>
      <c r="FA263" s="15"/>
      <c r="FB263" s="14"/>
      <c r="FC263" s="10"/>
      <c r="FD263" s="10"/>
      <c r="FE263" s="10"/>
      <c r="FF263" s="10"/>
      <c r="FG263" s="10"/>
      <c r="FH263" s="10"/>
    </row>
    <row r="264" spans="2:164" x14ac:dyDescent="0.25">
      <c r="B264"/>
      <c r="C264"/>
      <c r="D264"/>
      <c r="E264"/>
      <c r="F264" s="16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 s="16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 s="12"/>
      <c r="AK264" s="12"/>
      <c r="AL264" s="17"/>
      <c r="AN264" s="17"/>
      <c r="AP264" s="17"/>
      <c r="AQ264" s="12"/>
      <c r="AR264" s="12"/>
      <c r="AS264" s="17"/>
      <c r="AT264" s="17"/>
      <c r="AU264" s="12"/>
      <c r="AV264" s="12"/>
      <c r="AW264" s="17"/>
      <c r="AX264" s="12"/>
      <c r="AY264" s="12"/>
      <c r="BA264" s="12"/>
      <c r="BB264" s="12"/>
      <c r="BD264" s="12"/>
      <c r="BE264" s="12"/>
      <c r="BF264" s="17"/>
      <c r="BG264" s="12"/>
      <c r="BH264" s="12"/>
      <c r="BJ264" s="12"/>
      <c r="BK264" s="12"/>
      <c r="BM264" s="12"/>
      <c r="BN264" s="12"/>
      <c r="BO264" s="17"/>
      <c r="BQ264" s="12"/>
      <c r="BR264" s="12"/>
      <c r="BU264" s="12"/>
      <c r="BV264" s="12"/>
      <c r="BY264" s="12"/>
      <c r="BZ264" s="12"/>
      <c r="CC264" s="12"/>
      <c r="CD264" s="12"/>
      <c r="CE264"/>
      <c r="CG264" s="12"/>
      <c r="CH264" s="12"/>
      <c r="CJ264" s="12"/>
      <c r="CK264" s="12"/>
      <c r="CN264" s="12"/>
      <c r="CO264" s="12"/>
      <c r="CT264"/>
      <c r="CV264" s="12"/>
      <c r="CW264" s="12"/>
      <c r="CZ264" s="12"/>
      <c r="DA264" s="12"/>
      <c r="DC264" s="12"/>
      <c r="DD264" s="12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X264" s="9"/>
      <c r="EY264" s="9"/>
      <c r="EZ264" s="9"/>
      <c r="FA264" s="15"/>
      <c r="FB264" s="14"/>
      <c r="FC264" s="10"/>
      <c r="FD264" s="10"/>
      <c r="FE264" s="10"/>
      <c r="FF264" s="10"/>
      <c r="FG264" s="10"/>
      <c r="FH264" s="10"/>
    </row>
    <row r="265" spans="2:164" x14ac:dyDescent="0.25">
      <c r="B265"/>
      <c r="C265"/>
      <c r="D265"/>
      <c r="E265"/>
      <c r="F265" s="16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 s="16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 s="12"/>
      <c r="AK265" s="12"/>
      <c r="AL265" s="17"/>
      <c r="AN265" s="17"/>
      <c r="AP265" s="17"/>
      <c r="AQ265" s="12"/>
      <c r="AR265" s="12"/>
      <c r="AS265" s="17"/>
      <c r="AT265" s="17"/>
      <c r="AU265" s="12"/>
      <c r="AV265" s="12"/>
      <c r="AW265" s="17"/>
      <c r="AX265" s="12"/>
      <c r="AY265" s="12"/>
      <c r="BA265" s="12"/>
      <c r="BB265" s="12"/>
      <c r="BD265" s="12"/>
      <c r="BE265" s="12"/>
      <c r="BF265" s="17"/>
      <c r="BG265" s="12"/>
      <c r="BH265" s="12"/>
      <c r="BJ265" s="12"/>
      <c r="BK265" s="12"/>
      <c r="BM265" s="12"/>
      <c r="BN265" s="12"/>
      <c r="BO265" s="17"/>
      <c r="BQ265" s="12"/>
      <c r="BR265" s="12"/>
      <c r="BU265" s="12"/>
      <c r="BV265" s="12"/>
      <c r="BY265" s="12"/>
      <c r="BZ265" s="12"/>
      <c r="CC265" s="12"/>
      <c r="CD265" s="12"/>
      <c r="CE265"/>
      <c r="CG265" s="12"/>
      <c r="CH265" s="12"/>
      <c r="CJ265" s="12"/>
      <c r="CK265" s="12"/>
      <c r="CN265" s="12"/>
      <c r="CO265" s="12"/>
      <c r="CT265"/>
      <c r="CV265" s="12"/>
      <c r="CW265" s="12"/>
      <c r="CZ265" s="12"/>
      <c r="DA265" s="12"/>
      <c r="DC265" s="12"/>
      <c r="DD265" s="12"/>
      <c r="DF265" s="17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X265" s="9"/>
      <c r="EY265" s="9"/>
      <c r="EZ265" s="9"/>
      <c r="FA265" s="15"/>
      <c r="FB265" s="14"/>
      <c r="FC265" s="10"/>
      <c r="FD265" s="10"/>
      <c r="FE265" s="10"/>
      <c r="FF265" s="10"/>
      <c r="FG265" s="10"/>
      <c r="FH265" s="10"/>
    </row>
    <row r="266" spans="2:164" x14ac:dyDescent="0.25">
      <c r="B266"/>
      <c r="C266"/>
      <c r="D266"/>
      <c r="E266"/>
      <c r="F266" s="1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 s="1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 s="12"/>
      <c r="AK266" s="12"/>
      <c r="AL266" s="17"/>
      <c r="AN266" s="17"/>
      <c r="AP266" s="17"/>
      <c r="AQ266" s="12"/>
      <c r="AR266" s="12"/>
      <c r="AS266" s="17"/>
      <c r="AT266" s="17"/>
      <c r="AU266" s="12"/>
      <c r="AV266" s="12"/>
      <c r="AW266" s="17"/>
      <c r="AX266" s="12"/>
      <c r="AY266" s="12"/>
      <c r="BA266" s="12"/>
      <c r="BB266" s="12"/>
      <c r="BD266" s="12"/>
      <c r="BE266" s="12"/>
      <c r="BF266" s="17"/>
      <c r="BG266" s="12"/>
      <c r="BH266" s="12"/>
      <c r="BJ266" s="12"/>
      <c r="BK266" s="12"/>
      <c r="BM266" s="12"/>
      <c r="BN266" s="12"/>
      <c r="BO266" s="17"/>
      <c r="BQ266" s="12"/>
      <c r="BR266" s="12"/>
      <c r="BU266" s="12"/>
      <c r="BV266" s="12"/>
      <c r="BY266" s="12"/>
      <c r="BZ266" s="12"/>
      <c r="CC266" s="12"/>
      <c r="CD266" s="12"/>
      <c r="CE266"/>
      <c r="CG266" s="12"/>
      <c r="CH266" s="12"/>
      <c r="CJ266" s="12"/>
      <c r="CK266" s="12"/>
      <c r="CN266" s="12"/>
      <c r="CO266" s="12"/>
      <c r="CT266"/>
      <c r="CV266" s="12"/>
      <c r="CW266" s="12"/>
      <c r="CZ266" s="12"/>
      <c r="DA266" s="12"/>
      <c r="DC266" s="12"/>
      <c r="DD266" s="12"/>
      <c r="DF266" s="17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X266" s="9"/>
      <c r="EY266" s="9"/>
      <c r="EZ266" s="9"/>
      <c r="FA266" s="15"/>
      <c r="FB266" s="14"/>
      <c r="FC266" s="10"/>
      <c r="FD266" s="10"/>
      <c r="FE266" s="10"/>
      <c r="FF266" s="10"/>
      <c r="FG266" s="10"/>
      <c r="FH266" s="10"/>
    </row>
    <row r="267" spans="2:164" x14ac:dyDescent="0.25">
      <c r="B267"/>
      <c r="C267"/>
      <c r="D267"/>
      <c r="E267"/>
      <c r="F267" s="16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 s="16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 s="12"/>
      <c r="AK267" s="12"/>
      <c r="AL267" s="17"/>
      <c r="AN267" s="17"/>
      <c r="AP267" s="17"/>
      <c r="AQ267" s="12"/>
      <c r="AR267" s="12"/>
      <c r="AS267" s="17"/>
      <c r="AT267" s="17"/>
      <c r="AU267" s="12"/>
      <c r="AV267" s="12"/>
      <c r="AW267" s="17"/>
      <c r="AX267" s="12"/>
      <c r="AY267" s="12"/>
      <c r="BA267" s="12"/>
      <c r="BB267" s="12"/>
      <c r="BD267" s="12"/>
      <c r="BE267" s="12"/>
      <c r="BF267" s="17"/>
      <c r="BG267" s="12"/>
      <c r="BH267" s="12"/>
      <c r="BJ267" s="12"/>
      <c r="BK267" s="12"/>
      <c r="BM267" s="12"/>
      <c r="BN267" s="12"/>
      <c r="BO267" s="17"/>
      <c r="BQ267" s="12"/>
      <c r="BR267" s="12"/>
      <c r="BU267" s="12"/>
      <c r="BV267" s="12"/>
      <c r="BY267" s="12"/>
      <c r="BZ267" s="12"/>
      <c r="CC267" s="12"/>
      <c r="CD267" s="12"/>
      <c r="CE267"/>
      <c r="CG267" s="12"/>
      <c r="CH267" s="12"/>
      <c r="CJ267" s="12"/>
      <c r="CK267" s="12"/>
      <c r="CN267" s="12"/>
      <c r="CO267" s="12"/>
      <c r="CT267"/>
      <c r="CV267" s="12"/>
      <c r="CW267" s="12"/>
      <c r="CZ267" s="12"/>
      <c r="DA267" s="12"/>
      <c r="DC267" s="12"/>
      <c r="DD267" s="12"/>
      <c r="DE267" s="17"/>
      <c r="DF267" s="1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X267" s="9"/>
      <c r="EY267" s="9"/>
      <c r="EZ267" s="9"/>
      <c r="FA267" s="15"/>
      <c r="FB267" s="14"/>
      <c r="FC267" s="10"/>
      <c r="FD267" s="10"/>
      <c r="FE267" s="10"/>
      <c r="FF267" s="10"/>
      <c r="FG267" s="10"/>
      <c r="FH267" s="10"/>
    </row>
    <row r="268" spans="2:164" x14ac:dyDescent="0.25">
      <c r="B268"/>
      <c r="C268"/>
      <c r="D268"/>
      <c r="E268"/>
      <c r="F268" s="16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 s="16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 s="12"/>
      <c r="AK268" s="12"/>
      <c r="AL268" s="17"/>
      <c r="AN268" s="17"/>
      <c r="AP268" s="17"/>
      <c r="AQ268" s="12"/>
      <c r="AR268" s="12"/>
      <c r="AS268" s="17"/>
      <c r="AT268" s="17"/>
      <c r="AU268" s="12"/>
      <c r="AV268" s="12"/>
      <c r="AW268" s="17"/>
      <c r="AX268" s="12"/>
      <c r="AY268" s="12"/>
      <c r="BA268" s="12"/>
      <c r="BB268" s="12"/>
      <c r="BD268" s="12"/>
      <c r="BE268" s="12"/>
      <c r="BF268" s="17"/>
      <c r="BG268" s="12"/>
      <c r="BH268" s="12"/>
      <c r="BJ268" s="12"/>
      <c r="BK268" s="12"/>
      <c r="BM268" s="12"/>
      <c r="BN268" s="12"/>
      <c r="BO268" s="17"/>
      <c r="BQ268" s="12"/>
      <c r="BR268" s="12"/>
      <c r="BU268" s="12"/>
      <c r="BV268" s="12"/>
      <c r="BY268" s="12"/>
      <c r="BZ268" s="12"/>
      <c r="CC268" s="12"/>
      <c r="CD268" s="12"/>
      <c r="CE268"/>
      <c r="CG268" s="12"/>
      <c r="CH268" s="12"/>
      <c r="CJ268" s="12"/>
      <c r="CK268" s="12"/>
      <c r="CN268" s="12"/>
      <c r="CO268" s="12"/>
      <c r="CT268"/>
      <c r="CV268" s="12"/>
      <c r="CW268" s="12"/>
      <c r="CZ268" s="12"/>
      <c r="DA268" s="12"/>
      <c r="DC268" s="12"/>
      <c r="DD268" s="12"/>
      <c r="DF268" s="17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X268" s="9"/>
      <c r="EY268" s="9"/>
      <c r="EZ268" s="9"/>
      <c r="FA268" s="15"/>
      <c r="FB268" s="14"/>
      <c r="FC268" s="10"/>
      <c r="FD268" s="10"/>
      <c r="FE268" s="10"/>
      <c r="FF268" s="10"/>
      <c r="FG268" s="10"/>
      <c r="FH268" s="10"/>
    </row>
    <row r="269" spans="2:164" x14ac:dyDescent="0.25">
      <c r="B269"/>
      <c r="C269"/>
      <c r="D269"/>
      <c r="E269"/>
      <c r="F269" s="16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 s="16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 s="12"/>
      <c r="AK269" s="12"/>
      <c r="AL269" s="17"/>
      <c r="AN269" s="17"/>
      <c r="AP269" s="17"/>
      <c r="AQ269" s="12"/>
      <c r="AR269" s="12"/>
      <c r="AS269" s="17"/>
      <c r="AT269" s="17"/>
      <c r="AU269" s="12"/>
      <c r="AV269" s="12"/>
      <c r="AW269" s="17"/>
      <c r="AX269" s="12"/>
      <c r="AY269" s="12"/>
      <c r="BA269" s="12"/>
      <c r="BB269" s="12"/>
      <c r="BD269" s="12"/>
      <c r="BE269" s="12"/>
      <c r="BF269" s="17"/>
      <c r="BG269" s="12"/>
      <c r="BH269" s="12"/>
      <c r="BJ269" s="12"/>
      <c r="BK269" s="12"/>
      <c r="BM269" s="12"/>
      <c r="BN269" s="12"/>
      <c r="BO269" s="17"/>
      <c r="BQ269" s="12"/>
      <c r="BR269" s="12"/>
      <c r="BU269" s="12"/>
      <c r="BV269" s="12"/>
      <c r="BY269" s="12"/>
      <c r="BZ269" s="12"/>
      <c r="CC269" s="12"/>
      <c r="CD269" s="12"/>
      <c r="CE269"/>
      <c r="CG269" s="12"/>
      <c r="CH269" s="12"/>
      <c r="CJ269" s="12"/>
      <c r="CK269" s="12"/>
      <c r="CN269" s="12"/>
      <c r="CO269" s="12"/>
      <c r="CT269"/>
      <c r="CV269" s="12"/>
      <c r="CW269" s="12"/>
      <c r="CZ269" s="12"/>
      <c r="DA269" s="12"/>
      <c r="DC269" s="12"/>
      <c r="DD269" s="12"/>
      <c r="DE269" s="17"/>
      <c r="DF269" s="17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X269" s="9"/>
      <c r="EY269" s="9"/>
      <c r="EZ269" s="9"/>
      <c r="FA269" s="15"/>
      <c r="FB269" s="14"/>
      <c r="FC269" s="10"/>
      <c r="FD269" s="10"/>
      <c r="FE269" s="10"/>
      <c r="FF269" s="10"/>
      <c r="FG269" s="10"/>
      <c r="FH269" s="10"/>
    </row>
    <row r="270" spans="2:164" x14ac:dyDescent="0.25">
      <c r="B270"/>
      <c r="C270"/>
      <c r="D270"/>
      <c r="E270"/>
      <c r="F270" s="16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 s="16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 s="12"/>
      <c r="AK270" s="12"/>
      <c r="AL270" s="17"/>
      <c r="AN270" s="17"/>
      <c r="AP270" s="17"/>
      <c r="AQ270" s="12"/>
      <c r="AR270" s="12"/>
      <c r="AS270" s="17"/>
      <c r="AT270" s="17"/>
      <c r="AU270" s="12"/>
      <c r="AV270" s="12"/>
      <c r="AW270" s="17"/>
      <c r="AX270" s="12"/>
      <c r="AY270" s="12"/>
      <c r="BA270" s="12"/>
      <c r="BB270" s="12"/>
      <c r="BD270" s="12"/>
      <c r="BE270" s="12"/>
      <c r="BF270" s="17"/>
      <c r="BG270" s="12"/>
      <c r="BH270" s="12"/>
      <c r="BJ270" s="12"/>
      <c r="BK270" s="12"/>
      <c r="BM270" s="12"/>
      <c r="BN270" s="12"/>
      <c r="BO270" s="17"/>
      <c r="BQ270" s="12"/>
      <c r="BR270" s="12"/>
      <c r="BU270" s="12"/>
      <c r="BV270" s="12"/>
      <c r="BY270" s="12"/>
      <c r="BZ270" s="12"/>
      <c r="CC270" s="12"/>
      <c r="CD270" s="12"/>
      <c r="CE270"/>
      <c r="CG270" s="12"/>
      <c r="CH270" s="12"/>
      <c r="CJ270" s="12"/>
      <c r="CK270" s="12"/>
      <c r="CN270" s="12"/>
      <c r="CO270" s="12"/>
      <c r="CT270"/>
      <c r="CV270" s="12"/>
      <c r="CW270" s="12"/>
      <c r="CZ270" s="12"/>
      <c r="DA270" s="12"/>
      <c r="DC270" s="12"/>
      <c r="DD270" s="12"/>
      <c r="DE270" s="17"/>
      <c r="DF270" s="17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X270" s="9"/>
      <c r="EY270" s="9"/>
      <c r="EZ270" s="9"/>
      <c r="FA270" s="15"/>
      <c r="FB270" s="14"/>
      <c r="FC270" s="10"/>
      <c r="FD270" s="10"/>
      <c r="FE270" s="10"/>
      <c r="FF270" s="10"/>
      <c r="FG270" s="10"/>
      <c r="FH270" s="10"/>
    </row>
    <row r="271" spans="2:164" x14ac:dyDescent="0.25">
      <c r="B271"/>
      <c r="C271"/>
      <c r="D271"/>
      <c r="E271"/>
      <c r="F271" s="16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 s="16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 s="12"/>
      <c r="AK271" s="12"/>
      <c r="AL271" s="17"/>
      <c r="AN271" s="17"/>
      <c r="AP271" s="17"/>
      <c r="AQ271" s="12"/>
      <c r="AR271" s="12"/>
      <c r="AS271" s="17"/>
      <c r="AT271" s="17"/>
      <c r="AU271" s="12"/>
      <c r="AV271" s="12"/>
      <c r="AW271" s="17"/>
      <c r="AX271" s="12"/>
      <c r="AY271" s="12"/>
      <c r="BA271" s="12"/>
      <c r="BB271" s="12"/>
      <c r="BD271" s="12"/>
      <c r="BE271" s="12"/>
      <c r="BF271" s="17"/>
      <c r="BG271" s="12"/>
      <c r="BH271" s="12"/>
      <c r="BJ271" s="12"/>
      <c r="BK271" s="12"/>
      <c r="BM271" s="12"/>
      <c r="BN271" s="12"/>
      <c r="BO271" s="17"/>
      <c r="BQ271" s="12"/>
      <c r="BR271" s="12"/>
      <c r="BU271" s="12"/>
      <c r="BV271" s="12"/>
      <c r="BY271" s="12"/>
      <c r="BZ271" s="12"/>
      <c r="CC271" s="12"/>
      <c r="CD271" s="12"/>
      <c r="CE271"/>
      <c r="CG271" s="12"/>
      <c r="CH271" s="12"/>
      <c r="CJ271" s="12"/>
      <c r="CK271" s="12"/>
      <c r="CN271" s="12"/>
      <c r="CO271" s="12"/>
      <c r="CT271"/>
      <c r="CV271" s="12"/>
      <c r="CW271" s="12"/>
      <c r="CZ271" s="12"/>
      <c r="DA271" s="12"/>
      <c r="DC271" s="12"/>
      <c r="DD271" s="12"/>
      <c r="DF271" s="17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X271" s="9"/>
      <c r="EY271" s="9"/>
      <c r="EZ271" s="9"/>
      <c r="FA271" s="15"/>
      <c r="FB271" s="14"/>
      <c r="FC271" s="10"/>
      <c r="FD271" s="10"/>
      <c r="FE271" s="10"/>
      <c r="FF271" s="10"/>
      <c r="FG271" s="10"/>
      <c r="FH271" s="10"/>
    </row>
    <row r="272" spans="2:164" x14ac:dyDescent="0.25">
      <c r="B272"/>
      <c r="C272"/>
      <c r="D272"/>
      <c r="E272"/>
      <c r="F272" s="16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 s="16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 s="12"/>
      <c r="AK272" s="12"/>
      <c r="AL272" s="17"/>
      <c r="AN272" s="17"/>
      <c r="AP272" s="17"/>
      <c r="AQ272" s="12"/>
      <c r="AR272" s="12"/>
      <c r="AS272" s="17"/>
      <c r="AT272" s="17"/>
      <c r="AU272" s="12"/>
      <c r="AV272" s="12"/>
      <c r="AW272" s="17"/>
      <c r="AX272" s="12"/>
      <c r="AY272" s="12"/>
      <c r="BA272" s="12"/>
      <c r="BB272" s="12"/>
      <c r="BD272" s="12"/>
      <c r="BE272" s="12"/>
      <c r="BF272" s="17"/>
      <c r="BG272" s="12"/>
      <c r="BH272" s="12"/>
      <c r="BJ272" s="12"/>
      <c r="BK272" s="12"/>
      <c r="BM272" s="12"/>
      <c r="BN272" s="12"/>
      <c r="BO272" s="17"/>
      <c r="BQ272" s="12"/>
      <c r="BR272" s="12"/>
      <c r="BU272" s="12"/>
      <c r="BV272" s="12"/>
      <c r="BY272" s="12"/>
      <c r="BZ272" s="12"/>
      <c r="CC272" s="12"/>
      <c r="CD272" s="12"/>
      <c r="CE272"/>
      <c r="CG272" s="12"/>
      <c r="CH272" s="12"/>
      <c r="CJ272" s="12"/>
      <c r="CK272" s="12"/>
      <c r="CN272" s="12"/>
      <c r="CO272" s="12"/>
      <c r="CT272"/>
      <c r="CV272" s="12"/>
      <c r="CW272" s="12"/>
      <c r="CZ272" s="12"/>
      <c r="DA272" s="12"/>
      <c r="DC272" s="12"/>
      <c r="DD272" s="12"/>
      <c r="DF272" s="17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X272" s="9"/>
      <c r="EY272" s="9"/>
      <c r="EZ272" s="9"/>
      <c r="FA272" s="15"/>
      <c r="FB272" s="14"/>
      <c r="FC272" s="10"/>
      <c r="FD272" s="10"/>
      <c r="FE272" s="10"/>
      <c r="FF272" s="10"/>
      <c r="FG272" s="10"/>
      <c r="FH272" s="10"/>
    </row>
    <row r="273" spans="2:164" x14ac:dyDescent="0.25">
      <c r="B273"/>
      <c r="C273"/>
      <c r="D273"/>
      <c r="E273"/>
      <c r="F273" s="16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 s="16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 s="12"/>
      <c r="AK273" s="12"/>
      <c r="AL273" s="17"/>
      <c r="AN273" s="17"/>
      <c r="AP273" s="17"/>
      <c r="AQ273" s="12"/>
      <c r="AR273" s="12"/>
      <c r="AS273" s="17"/>
      <c r="AT273" s="17"/>
      <c r="AU273" s="12"/>
      <c r="AV273" s="12"/>
      <c r="AW273" s="17"/>
      <c r="AX273" s="12"/>
      <c r="AY273" s="12"/>
      <c r="BA273" s="12"/>
      <c r="BB273" s="12"/>
      <c r="BD273" s="12"/>
      <c r="BE273" s="12"/>
      <c r="BF273" s="17"/>
      <c r="BG273" s="12"/>
      <c r="BH273" s="12"/>
      <c r="BJ273" s="12"/>
      <c r="BK273" s="12"/>
      <c r="BM273" s="12"/>
      <c r="BN273" s="12"/>
      <c r="BO273" s="17"/>
      <c r="BQ273" s="12"/>
      <c r="BR273" s="12"/>
      <c r="BU273" s="12"/>
      <c r="BV273" s="12"/>
      <c r="BY273" s="12"/>
      <c r="BZ273" s="12"/>
      <c r="CC273" s="12"/>
      <c r="CD273" s="12"/>
      <c r="CE273"/>
      <c r="CG273" s="12"/>
      <c r="CH273" s="12"/>
      <c r="CJ273" s="12"/>
      <c r="CK273" s="12"/>
      <c r="CN273" s="12"/>
      <c r="CO273" s="12"/>
      <c r="CT273"/>
      <c r="CV273" s="12"/>
      <c r="CW273" s="12"/>
      <c r="CZ273" s="12"/>
      <c r="DA273" s="12"/>
      <c r="DC273" s="12"/>
      <c r="DD273" s="12"/>
      <c r="DE273" s="17"/>
      <c r="DF273" s="17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X273" s="9"/>
      <c r="EY273" s="9"/>
      <c r="EZ273" s="9"/>
      <c r="FA273" s="15"/>
      <c r="FB273" s="14"/>
      <c r="FC273" s="10"/>
      <c r="FD273" s="10"/>
      <c r="FE273" s="10"/>
      <c r="FF273" s="10"/>
      <c r="FG273" s="10"/>
      <c r="FH273" s="10"/>
    </row>
    <row r="274" spans="2:164" x14ac:dyDescent="0.25">
      <c r="B274"/>
      <c r="C274"/>
      <c r="D274"/>
      <c r="E274"/>
      <c r="F274" s="16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 s="16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 s="12"/>
      <c r="AK274" s="12"/>
      <c r="AL274" s="17"/>
      <c r="AN274" s="17"/>
      <c r="AP274" s="17"/>
      <c r="AQ274" s="12"/>
      <c r="AR274" s="12"/>
      <c r="AS274" s="17"/>
      <c r="AT274" s="17"/>
      <c r="AU274" s="12"/>
      <c r="AV274" s="12"/>
      <c r="AW274" s="17"/>
      <c r="AX274" s="12"/>
      <c r="AY274" s="12"/>
      <c r="BA274" s="12"/>
      <c r="BB274" s="12"/>
      <c r="BD274" s="12"/>
      <c r="BE274" s="12"/>
      <c r="BF274" s="17"/>
      <c r="BG274" s="12"/>
      <c r="BH274" s="12"/>
      <c r="BJ274" s="12"/>
      <c r="BK274" s="12"/>
      <c r="BM274" s="12"/>
      <c r="BN274" s="12"/>
      <c r="BO274" s="17"/>
      <c r="BQ274" s="12"/>
      <c r="BR274" s="12"/>
      <c r="BU274" s="12"/>
      <c r="BV274" s="12"/>
      <c r="BY274" s="12"/>
      <c r="BZ274" s="12"/>
      <c r="CC274" s="12"/>
      <c r="CD274" s="12"/>
      <c r="CE274"/>
      <c r="CG274" s="12"/>
      <c r="CH274" s="12"/>
      <c r="CJ274" s="12"/>
      <c r="CK274" s="12"/>
      <c r="CN274" s="12"/>
      <c r="CO274" s="12"/>
      <c r="CT274"/>
      <c r="CV274" s="12"/>
      <c r="CW274" s="12"/>
      <c r="CZ274" s="12"/>
      <c r="DA274" s="12"/>
      <c r="DC274" s="12"/>
      <c r="DD274" s="12"/>
      <c r="DF274" s="17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X274" s="9"/>
      <c r="EY274" s="9"/>
      <c r="EZ274" s="9"/>
      <c r="FA274" s="15"/>
      <c r="FB274" s="14"/>
      <c r="FC274" s="10"/>
      <c r="FD274" s="10"/>
      <c r="FE274" s="10"/>
      <c r="FF274" s="10"/>
      <c r="FG274" s="10"/>
      <c r="FH274" s="10"/>
    </row>
    <row r="275" spans="2:164" x14ac:dyDescent="0.25">
      <c r="B275"/>
      <c r="C275"/>
      <c r="D275"/>
      <c r="E275"/>
      <c r="F275" s="16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 s="16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 s="12"/>
      <c r="AK275" s="12"/>
      <c r="AL275" s="17"/>
      <c r="AN275" s="17"/>
      <c r="AP275" s="17"/>
      <c r="AQ275" s="12"/>
      <c r="AR275" s="12"/>
      <c r="AS275" s="17"/>
      <c r="AT275" s="17"/>
      <c r="AU275" s="12"/>
      <c r="AV275" s="12"/>
      <c r="AW275" s="17"/>
      <c r="AX275" s="12"/>
      <c r="AY275" s="12"/>
      <c r="BA275" s="12"/>
      <c r="BB275" s="12"/>
      <c r="BD275" s="12"/>
      <c r="BE275" s="12"/>
      <c r="BF275" s="17"/>
      <c r="BG275" s="12"/>
      <c r="BH275" s="12"/>
      <c r="BJ275" s="12"/>
      <c r="BK275" s="12"/>
      <c r="BM275" s="12"/>
      <c r="BN275" s="12"/>
      <c r="BO275" s="17"/>
      <c r="BQ275" s="12"/>
      <c r="BR275" s="12"/>
      <c r="BU275" s="12"/>
      <c r="BV275" s="12"/>
      <c r="BY275" s="12"/>
      <c r="BZ275" s="12"/>
      <c r="CC275" s="12"/>
      <c r="CD275" s="12"/>
      <c r="CE275"/>
      <c r="CG275" s="12"/>
      <c r="CH275" s="12"/>
      <c r="CJ275" s="12"/>
      <c r="CK275" s="12"/>
      <c r="CN275" s="12"/>
      <c r="CO275" s="12"/>
      <c r="CT275"/>
      <c r="CV275" s="12"/>
      <c r="CW275" s="12"/>
      <c r="CZ275" s="12"/>
      <c r="DA275" s="12"/>
      <c r="DC275" s="12"/>
      <c r="DD275" s="12"/>
      <c r="DE275" s="17"/>
      <c r="DF275" s="17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X275" s="9"/>
      <c r="EY275" s="9"/>
      <c r="EZ275" s="9"/>
      <c r="FA275" s="15"/>
      <c r="FB275" s="14"/>
      <c r="FC275" s="10"/>
      <c r="FD275" s="10"/>
      <c r="FE275" s="10"/>
      <c r="FF275" s="10"/>
      <c r="FG275" s="10"/>
      <c r="FH275" s="10"/>
    </row>
    <row r="276" spans="2:164" x14ac:dyDescent="0.25">
      <c r="B276"/>
      <c r="C276"/>
      <c r="D276"/>
      <c r="E276"/>
      <c r="F276" s="1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 s="1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 s="12"/>
      <c r="AK276" s="12"/>
      <c r="AL276" s="17"/>
      <c r="AN276" s="17"/>
      <c r="AP276" s="17"/>
      <c r="AQ276" s="12"/>
      <c r="AR276" s="12"/>
      <c r="AS276" s="17"/>
      <c r="AT276" s="17"/>
      <c r="AU276" s="12"/>
      <c r="AV276" s="12"/>
      <c r="AW276" s="17"/>
      <c r="AX276" s="12"/>
      <c r="AY276" s="12"/>
      <c r="BA276" s="12"/>
      <c r="BB276" s="12"/>
      <c r="BD276" s="12"/>
      <c r="BE276" s="12"/>
      <c r="BF276" s="17"/>
      <c r="BG276" s="12"/>
      <c r="BH276" s="12"/>
      <c r="BJ276" s="12"/>
      <c r="BK276" s="12"/>
      <c r="BM276" s="12"/>
      <c r="BN276" s="12"/>
      <c r="BO276" s="17"/>
      <c r="BQ276" s="12"/>
      <c r="BR276" s="12"/>
      <c r="BU276" s="12"/>
      <c r="BV276" s="12"/>
      <c r="BY276" s="12"/>
      <c r="BZ276" s="12"/>
      <c r="CC276" s="12"/>
      <c r="CD276" s="12"/>
      <c r="CE276"/>
      <c r="CG276" s="12"/>
      <c r="CH276" s="12"/>
      <c r="CJ276" s="12"/>
      <c r="CK276" s="12"/>
      <c r="CN276" s="12"/>
      <c r="CO276" s="12"/>
      <c r="CT276"/>
      <c r="CV276" s="12"/>
      <c r="CW276" s="12"/>
      <c r="CX276" s="17"/>
      <c r="CZ276" s="12"/>
      <c r="DA276" s="12"/>
      <c r="DC276" s="12"/>
      <c r="DD276" s="12"/>
      <c r="DE276" s="17"/>
      <c r="DF276" s="17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X276" s="9"/>
      <c r="EY276" s="9"/>
      <c r="EZ276" s="9"/>
      <c r="FA276" s="15"/>
      <c r="FB276" s="14"/>
      <c r="FC276" s="10"/>
      <c r="FD276" s="10"/>
      <c r="FE276" s="10"/>
      <c r="FF276" s="10"/>
      <c r="FG276" s="10"/>
      <c r="FH276" s="10"/>
    </row>
    <row r="277" spans="2:164" x14ac:dyDescent="0.25">
      <c r="B277"/>
      <c r="C277"/>
      <c r="D277"/>
      <c r="E277"/>
      <c r="F277" s="16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 s="16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 s="12"/>
      <c r="AK277" s="12"/>
      <c r="AL277" s="17"/>
      <c r="AN277" s="17"/>
      <c r="AP277" s="17"/>
      <c r="AQ277" s="12"/>
      <c r="AR277" s="12"/>
      <c r="AS277" s="17"/>
      <c r="AT277" s="17"/>
      <c r="AU277" s="12"/>
      <c r="AV277" s="12"/>
      <c r="AW277" s="17"/>
      <c r="AX277" s="12"/>
      <c r="AY277" s="12"/>
      <c r="BA277" s="12"/>
      <c r="BB277" s="12"/>
      <c r="BD277" s="12"/>
      <c r="BE277" s="12"/>
      <c r="BF277" s="17"/>
      <c r="BG277" s="12"/>
      <c r="BH277" s="12"/>
      <c r="BJ277" s="12"/>
      <c r="BK277" s="12"/>
      <c r="BM277" s="12"/>
      <c r="BN277" s="12"/>
      <c r="BO277" s="17"/>
      <c r="BQ277" s="12"/>
      <c r="BR277" s="12"/>
      <c r="BU277" s="12"/>
      <c r="BV277" s="12"/>
      <c r="BY277" s="12"/>
      <c r="BZ277" s="12"/>
      <c r="CC277" s="12"/>
      <c r="CD277" s="12"/>
      <c r="CE277"/>
      <c r="CG277" s="12"/>
      <c r="CH277" s="12"/>
      <c r="CJ277" s="12"/>
      <c r="CK277" s="12"/>
      <c r="CN277" s="12"/>
      <c r="CO277" s="12"/>
      <c r="CT277"/>
      <c r="CV277" s="12"/>
      <c r="CW277" s="12"/>
      <c r="CZ277" s="12"/>
      <c r="DA277" s="12"/>
      <c r="DC277" s="12"/>
      <c r="DD277" s="12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X277" s="9"/>
      <c r="EY277" s="9"/>
      <c r="EZ277" s="9"/>
      <c r="FA277" s="15"/>
      <c r="FB277" s="14"/>
      <c r="FC277" s="10"/>
      <c r="FD277" s="10"/>
      <c r="FE277" s="10"/>
      <c r="FF277" s="10"/>
      <c r="FG277" s="10"/>
      <c r="FH277" s="10"/>
    </row>
    <row r="278" spans="2:164" x14ac:dyDescent="0.25">
      <c r="B278"/>
      <c r="C278"/>
      <c r="D278"/>
      <c r="E278"/>
      <c r="F278" s="16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 s="16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 s="12"/>
      <c r="AK278" s="12"/>
      <c r="AL278" s="17"/>
      <c r="AN278" s="17"/>
      <c r="AP278" s="17"/>
      <c r="AQ278" s="12"/>
      <c r="AR278" s="12"/>
      <c r="AS278" s="17"/>
      <c r="AT278" s="17"/>
      <c r="AU278" s="12"/>
      <c r="AV278" s="12"/>
      <c r="AW278" s="17"/>
      <c r="AX278" s="12"/>
      <c r="AY278" s="12"/>
      <c r="BA278" s="12"/>
      <c r="BB278" s="12"/>
      <c r="BD278" s="12"/>
      <c r="BE278" s="12"/>
      <c r="BF278" s="17"/>
      <c r="BG278" s="12"/>
      <c r="BH278" s="12"/>
      <c r="BJ278" s="12"/>
      <c r="BK278" s="12"/>
      <c r="BM278" s="12"/>
      <c r="BN278" s="12"/>
      <c r="BO278" s="17"/>
      <c r="BQ278" s="12"/>
      <c r="BR278" s="12"/>
      <c r="BU278" s="12"/>
      <c r="BV278" s="12"/>
      <c r="BY278" s="12"/>
      <c r="BZ278" s="12"/>
      <c r="CC278" s="12"/>
      <c r="CD278" s="12"/>
      <c r="CE278"/>
      <c r="CG278" s="12"/>
      <c r="CH278" s="12"/>
      <c r="CJ278" s="12"/>
      <c r="CK278" s="12"/>
      <c r="CN278" s="12"/>
      <c r="CO278" s="12"/>
      <c r="CT278"/>
      <c r="CV278" s="12"/>
      <c r="CW278" s="12"/>
      <c r="CZ278" s="12"/>
      <c r="DA278" s="12"/>
      <c r="DC278" s="12"/>
      <c r="DD278" s="12"/>
      <c r="DE278" s="17"/>
      <c r="DF278" s="17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X278" s="9"/>
      <c r="EY278" s="9"/>
      <c r="EZ278" s="9"/>
      <c r="FA278" s="15"/>
      <c r="FB278" s="14"/>
      <c r="FC278" s="10"/>
      <c r="FD278" s="10"/>
      <c r="FE278" s="10"/>
      <c r="FF278" s="10"/>
      <c r="FG278" s="10"/>
      <c r="FH278" s="10"/>
    </row>
    <row r="279" spans="2:164" x14ac:dyDescent="0.25">
      <c r="B279"/>
      <c r="C279"/>
      <c r="D279"/>
      <c r="E279"/>
      <c r="F279" s="16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 s="16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 s="12"/>
      <c r="AK279" s="12"/>
      <c r="AL279" s="17"/>
      <c r="AN279" s="17"/>
      <c r="AP279" s="17"/>
      <c r="AQ279" s="12"/>
      <c r="AR279" s="12"/>
      <c r="AS279" s="17"/>
      <c r="AT279" s="17"/>
      <c r="AU279" s="12"/>
      <c r="AV279" s="12"/>
      <c r="AW279" s="17"/>
      <c r="AX279" s="12"/>
      <c r="AY279" s="12"/>
      <c r="BA279" s="12"/>
      <c r="BB279" s="12"/>
      <c r="BD279" s="12"/>
      <c r="BE279" s="12"/>
      <c r="BF279" s="17"/>
      <c r="BG279" s="12"/>
      <c r="BH279" s="12"/>
      <c r="BJ279" s="12"/>
      <c r="BK279" s="12"/>
      <c r="BM279" s="12"/>
      <c r="BN279" s="12"/>
      <c r="BO279" s="17"/>
      <c r="BQ279" s="12"/>
      <c r="BR279" s="12"/>
      <c r="BU279" s="12"/>
      <c r="BV279" s="12"/>
      <c r="BY279" s="12"/>
      <c r="BZ279" s="12"/>
      <c r="CC279" s="12"/>
      <c r="CD279" s="12"/>
      <c r="CE279"/>
      <c r="CG279" s="12"/>
      <c r="CH279" s="12"/>
      <c r="CJ279" s="12"/>
      <c r="CK279" s="12"/>
      <c r="CN279" s="12"/>
      <c r="CO279" s="12"/>
      <c r="CT279"/>
      <c r="CV279" s="12"/>
      <c r="CW279" s="12"/>
      <c r="CX279" s="17"/>
      <c r="CZ279" s="12"/>
      <c r="DA279" s="12"/>
      <c r="DC279" s="12"/>
      <c r="DD279" s="12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X279" s="9"/>
      <c r="EY279" s="9"/>
      <c r="EZ279" s="9"/>
      <c r="FA279" s="15"/>
      <c r="FB279" s="14"/>
      <c r="FC279" s="10"/>
      <c r="FD279" s="10"/>
      <c r="FE279" s="10"/>
      <c r="FF279" s="10"/>
      <c r="FG279" s="10"/>
      <c r="FH279" s="10"/>
    </row>
    <row r="280" spans="2:164" x14ac:dyDescent="0.25">
      <c r="B280"/>
      <c r="C280"/>
      <c r="D280"/>
      <c r="E280"/>
      <c r="F280" s="16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 s="16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 s="12"/>
      <c r="AK280" s="12"/>
      <c r="AL280" s="17"/>
      <c r="AN280" s="17"/>
      <c r="AP280" s="17"/>
      <c r="AQ280" s="12"/>
      <c r="AR280" s="12"/>
      <c r="AS280" s="17"/>
      <c r="AT280" s="17"/>
      <c r="AU280" s="12"/>
      <c r="AV280" s="12"/>
      <c r="AW280" s="17"/>
      <c r="AX280" s="12"/>
      <c r="AY280" s="12"/>
      <c r="BA280" s="12"/>
      <c r="BB280" s="12"/>
      <c r="BD280" s="12"/>
      <c r="BE280" s="12"/>
      <c r="BF280" s="17"/>
      <c r="BG280" s="12"/>
      <c r="BH280" s="12"/>
      <c r="BJ280" s="12"/>
      <c r="BK280" s="12"/>
      <c r="BM280" s="12"/>
      <c r="BN280" s="12"/>
      <c r="BQ280" s="12"/>
      <c r="BR280" s="12"/>
      <c r="BU280" s="12"/>
      <c r="BV280" s="12"/>
      <c r="BY280" s="12"/>
      <c r="BZ280" s="12"/>
      <c r="CC280" s="12"/>
      <c r="CD280" s="12"/>
      <c r="CE280"/>
      <c r="CG280" s="12"/>
      <c r="CH280" s="12"/>
      <c r="CJ280" s="12"/>
      <c r="CK280" s="12"/>
      <c r="CN280" s="12"/>
      <c r="CO280" s="12"/>
      <c r="CT280"/>
      <c r="CV280" s="12"/>
      <c r="CW280" s="12"/>
      <c r="CZ280" s="12"/>
      <c r="DA280" s="12"/>
      <c r="DB280" s="17"/>
      <c r="DC280" s="12"/>
      <c r="DD280" s="12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X280" s="9"/>
      <c r="EY280" s="9"/>
      <c r="EZ280" s="9"/>
      <c r="FA280" s="15"/>
      <c r="FB280" s="14"/>
      <c r="FC280" s="10"/>
      <c r="FD280" s="10"/>
      <c r="FE280" s="10"/>
      <c r="FF280" s="10"/>
      <c r="FG280" s="10"/>
      <c r="FH280" s="10"/>
    </row>
    <row r="281" spans="2:164" x14ac:dyDescent="0.25">
      <c r="B281"/>
      <c r="C281"/>
      <c r="D281"/>
      <c r="E281"/>
      <c r="F281" s="16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 s="16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 s="12"/>
      <c r="AK281" s="12"/>
      <c r="AL281" s="17"/>
      <c r="AN281" s="17"/>
      <c r="AP281" s="17"/>
      <c r="AQ281" s="12"/>
      <c r="AR281" s="12"/>
      <c r="AS281" s="17"/>
      <c r="AT281" s="17"/>
      <c r="AU281" s="12"/>
      <c r="AV281" s="12"/>
      <c r="AW281" s="17"/>
      <c r="AX281" s="12"/>
      <c r="AY281" s="12"/>
      <c r="BA281" s="12"/>
      <c r="BB281" s="12"/>
      <c r="BD281" s="12"/>
      <c r="BE281" s="12"/>
      <c r="BF281" s="17"/>
      <c r="BG281" s="12"/>
      <c r="BH281" s="12"/>
      <c r="BJ281" s="12"/>
      <c r="BK281" s="12"/>
      <c r="BM281" s="12"/>
      <c r="BN281" s="12"/>
      <c r="BO281" s="17"/>
      <c r="BQ281" s="12"/>
      <c r="BR281" s="12"/>
      <c r="BU281" s="12"/>
      <c r="BV281" s="12"/>
      <c r="BY281" s="12"/>
      <c r="BZ281" s="12"/>
      <c r="CC281" s="12"/>
      <c r="CD281" s="12"/>
      <c r="CE281"/>
      <c r="CG281" s="12"/>
      <c r="CH281" s="12"/>
      <c r="CJ281" s="12"/>
      <c r="CK281" s="12"/>
      <c r="CN281" s="12"/>
      <c r="CO281" s="12"/>
      <c r="CT281"/>
      <c r="CV281" s="12"/>
      <c r="CW281" s="12"/>
      <c r="CZ281" s="12"/>
      <c r="DA281" s="12"/>
      <c r="DC281" s="12"/>
      <c r="DD281" s="12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X281" s="9"/>
      <c r="EY281" s="9"/>
      <c r="EZ281" s="9"/>
      <c r="FA281" s="15"/>
      <c r="FB281" s="14"/>
      <c r="FC281" s="10"/>
      <c r="FD281" s="10"/>
      <c r="FE281" s="10"/>
      <c r="FF281" s="10"/>
      <c r="FG281" s="10"/>
      <c r="FH281" s="10"/>
    </row>
    <row r="282" spans="2:164" x14ac:dyDescent="0.25">
      <c r="B282"/>
      <c r="C282"/>
      <c r="D282"/>
      <c r="E282"/>
      <c r="F282" s="16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 s="16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 s="12"/>
      <c r="AK282" s="12"/>
      <c r="AL282" s="17"/>
      <c r="AN282" s="17"/>
      <c r="AP282" s="17"/>
      <c r="AQ282" s="12"/>
      <c r="AR282" s="12"/>
      <c r="AS282" s="17"/>
      <c r="AT282" s="17"/>
      <c r="AU282" s="12"/>
      <c r="AV282" s="12"/>
      <c r="AW282" s="17"/>
      <c r="AX282" s="12"/>
      <c r="AY282" s="12"/>
      <c r="BA282" s="12"/>
      <c r="BB282" s="12"/>
      <c r="BD282" s="12"/>
      <c r="BE282" s="12"/>
      <c r="BF282" s="17"/>
      <c r="BG282" s="12"/>
      <c r="BH282" s="12"/>
      <c r="BJ282" s="12"/>
      <c r="BK282" s="12"/>
      <c r="BM282" s="12"/>
      <c r="BN282" s="12"/>
      <c r="BO282" s="17"/>
      <c r="BQ282" s="12"/>
      <c r="BR282" s="12"/>
      <c r="BU282" s="12"/>
      <c r="BV282" s="12"/>
      <c r="BY282" s="12"/>
      <c r="BZ282" s="12"/>
      <c r="CC282" s="12"/>
      <c r="CD282" s="12"/>
      <c r="CE282"/>
      <c r="CG282" s="12"/>
      <c r="CH282" s="12"/>
      <c r="CJ282" s="12"/>
      <c r="CK282" s="12"/>
      <c r="CN282" s="12"/>
      <c r="CO282" s="12"/>
      <c r="CT282"/>
      <c r="CV282" s="12"/>
      <c r="CW282" s="12"/>
      <c r="CX282" s="17"/>
      <c r="CZ282" s="12"/>
      <c r="DA282" s="12"/>
      <c r="DC282" s="12"/>
      <c r="DD282" s="1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X282" s="9"/>
      <c r="EY282" s="9"/>
      <c r="EZ282" s="9"/>
      <c r="FA282" s="15"/>
      <c r="FB282" s="14"/>
      <c r="FC282" s="10"/>
      <c r="FD282" s="10"/>
      <c r="FE282" s="10"/>
      <c r="FF282" s="10"/>
      <c r="FG282" s="10"/>
      <c r="FH282" s="10"/>
    </row>
    <row r="283" spans="2:164" x14ac:dyDescent="0.25">
      <c r="B283"/>
      <c r="C283"/>
      <c r="D283"/>
      <c r="E283"/>
      <c r="F283" s="16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 s="16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 s="12"/>
      <c r="AK283" s="12"/>
      <c r="AL283" s="17"/>
      <c r="AN283" s="17"/>
      <c r="AP283" s="17"/>
      <c r="AQ283" s="12"/>
      <c r="AR283" s="12"/>
      <c r="AS283" s="17"/>
      <c r="AT283" s="17"/>
      <c r="AU283" s="12"/>
      <c r="AV283" s="12"/>
      <c r="AW283" s="17"/>
      <c r="AX283" s="12"/>
      <c r="AY283" s="12"/>
      <c r="BA283" s="12"/>
      <c r="BB283" s="12"/>
      <c r="BD283" s="12"/>
      <c r="BE283" s="12"/>
      <c r="BF283" s="17"/>
      <c r="BG283" s="12"/>
      <c r="BH283" s="12"/>
      <c r="BJ283" s="12"/>
      <c r="BK283" s="12"/>
      <c r="BM283" s="12"/>
      <c r="BN283" s="12"/>
      <c r="BO283" s="17"/>
      <c r="BQ283" s="12"/>
      <c r="BR283" s="12"/>
      <c r="BU283" s="12"/>
      <c r="BV283" s="12"/>
      <c r="BY283" s="12"/>
      <c r="BZ283" s="12"/>
      <c r="CC283" s="12"/>
      <c r="CD283" s="12"/>
      <c r="CE283"/>
      <c r="CG283" s="12"/>
      <c r="CH283" s="12"/>
      <c r="CJ283" s="12"/>
      <c r="CK283" s="12"/>
      <c r="CN283" s="12"/>
      <c r="CO283" s="12"/>
      <c r="CT283"/>
      <c r="CV283" s="12"/>
      <c r="CW283" s="12"/>
      <c r="CZ283" s="12"/>
      <c r="DA283" s="12"/>
      <c r="DC283" s="12"/>
      <c r="DD283" s="12"/>
      <c r="DE283" s="17"/>
      <c r="DF283" s="17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X283" s="9"/>
      <c r="EY283" s="9"/>
      <c r="EZ283" s="9"/>
      <c r="FA283" s="15"/>
      <c r="FB283" s="14"/>
      <c r="FC283" s="10"/>
      <c r="FD283" s="10"/>
      <c r="FE283" s="10"/>
      <c r="FF283" s="10"/>
      <c r="FG283" s="10"/>
      <c r="FH283" s="10"/>
    </row>
    <row r="284" spans="2:164" x14ac:dyDescent="0.25">
      <c r="B284"/>
      <c r="C284"/>
      <c r="D284"/>
      <c r="E284"/>
      <c r="F284" s="16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 s="16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 s="12"/>
      <c r="AK284" s="12"/>
      <c r="AL284" s="17"/>
      <c r="AN284" s="17"/>
      <c r="AP284" s="17"/>
      <c r="AQ284" s="12"/>
      <c r="AR284" s="12"/>
      <c r="AS284" s="17"/>
      <c r="AT284" s="17"/>
      <c r="AU284" s="12"/>
      <c r="AV284" s="12"/>
      <c r="AW284" s="17"/>
      <c r="AX284" s="12"/>
      <c r="AY284" s="12"/>
      <c r="BA284" s="12"/>
      <c r="BB284" s="12"/>
      <c r="BD284" s="12"/>
      <c r="BE284" s="12"/>
      <c r="BF284" s="17"/>
      <c r="BG284" s="12"/>
      <c r="BH284" s="12"/>
      <c r="BJ284" s="12"/>
      <c r="BK284" s="12"/>
      <c r="BM284" s="12"/>
      <c r="BN284" s="12"/>
      <c r="BO284" s="17"/>
      <c r="BQ284" s="12"/>
      <c r="BR284" s="12"/>
      <c r="BU284" s="12"/>
      <c r="BV284" s="12"/>
      <c r="BY284" s="12"/>
      <c r="BZ284" s="12"/>
      <c r="CC284" s="12"/>
      <c r="CD284" s="12"/>
      <c r="CE284"/>
      <c r="CG284" s="12"/>
      <c r="CH284" s="12"/>
      <c r="CJ284" s="12"/>
      <c r="CK284" s="12"/>
      <c r="CN284" s="12"/>
      <c r="CO284" s="12"/>
      <c r="CT284"/>
      <c r="CV284" s="12"/>
      <c r="CW284" s="12"/>
      <c r="CZ284" s="12"/>
      <c r="DA284" s="12"/>
      <c r="DC284" s="12"/>
      <c r="DD284" s="12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X284" s="9"/>
      <c r="EY284" s="9"/>
      <c r="EZ284" s="9"/>
      <c r="FA284" s="15"/>
      <c r="FB284" s="14"/>
      <c r="FC284" s="10"/>
      <c r="FD284" s="10"/>
      <c r="FE284" s="10"/>
      <c r="FF284" s="10"/>
      <c r="FG284" s="10"/>
      <c r="FH284" s="10"/>
    </row>
    <row r="285" spans="2:164" x14ac:dyDescent="0.25">
      <c r="B285"/>
      <c r="C285"/>
      <c r="D285"/>
      <c r="E285"/>
      <c r="F285" s="16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 s="16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 s="12"/>
      <c r="AK285" s="12"/>
      <c r="AL285" s="17"/>
      <c r="AN285" s="17"/>
      <c r="AP285" s="17"/>
      <c r="AQ285" s="12"/>
      <c r="AR285" s="12"/>
      <c r="AS285" s="17"/>
      <c r="AT285" s="17"/>
      <c r="AU285" s="12"/>
      <c r="AV285" s="12"/>
      <c r="AW285" s="17"/>
      <c r="AX285" s="12"/>
      <c r="AY285" s="12"/>
      <c r="BA285" s="12"/>
      <c r="BB285" s="12"/>
      <c r="BD285" s="12"/>
      <c r="BE285" s="12"/>
      <c r="BF285" s="17"/>
      <c r="BG285" s="12"/>
      <c r="BH285" s="12"/>
      <c r="BJ285" s="12"/>
      <c r="BK285" s="12"/>
      <c r="BM285" s="12"/>
      <c r="BN285" s="12"/>
      <c r="BO285" s="17"/>
      <c r="BQ285" s="12"/>
      <c r="BR285" s="12"/>
      <c r="BU285" s="12"/>
      <c r="BV285" s="12"/>
      <c r="BY285" s="12"/>
      <c r="BZ285" s="12"/>
      <c r="CC285" s="12"/>
      <c r="CD285" s="12"/>
      <c r="CE285"/>
      <c r="CG285" s="12"/>
      <c r="CH285" s="12"/>
      <c r="CJ285" s="12"/>
      <c r="CK285" s="12"/>
      <c r="CN285" s="12"/>
      <c r="CO285" s="12"/>
      <c r="CT285"/>
      <c r="CV285" s="12"/>
      <c r="CW285" s="12"/>
      <c r="CZ285" s="12"/>
      <c r="DA285" s="12"/>
      <c r="DC285" s="12"/>
      <c r="DD285" s="12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X285" s="9"/>
      <c r="EY285" s="9"/>
      <c r="EZ285" s="9"/>
      <c r="FA285" s="15"/>
      <c r="FB285" s="14"/>
      <c r="FC285" s="10"/>
      <c r="FD285" s="10"/>
      <c r="FE285" s="10"/>
      <c r="FF285" s="10"/>
      <c r="FG285" s="10"/>
      <c r="FH285" s="10"/>
    </row>
    <row r="286" spans="2:164" x14ac:dyDescent="0.25">
      <c r="B286"/>
      <c r="C286"/>
      <c r="D286"/>
      <c r="E286"/>
      <c r="F286" s="1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 s="1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 s="12"/>
      <c r="AK286" s="12"/>
      <c r="AL286" s="17"/>
      <c r="AN286" s="17"/>
      <c r="AP286" s="17"/>
      <c r="AQ286" s="12"/>
      <c r="AR286" s="12"/>
      <c r="AS286" s="17"/>
      <c r="AT286" s="17"/>
      <c r="AU286" s="12"/>
      <c r="AV286" s="12"/>
      <c r="AW286" s="17"/>
      <c r="AX286" s="12"/>
      <c r="AY286" s="12"/>
      <c r="BA286" s="12"/>
      <c r="BB286" s="12"/>
      <c r="BD286" s="12"/>
      <c r="BE286" s="12"/>
      <c r="BF286" s="17"/>
      <c r="BG286" s="12"/>
      <c r="BH286" s="12"/>
      <c r="BJ286" s="12"/>
      <c r="BK286" s="12"/>
      <c r="BM286" s="12"/>
      <c r="BN286" s="12"/>
      <c r="BO286" s="17"/>
      <c r="BQ286" s="12"/>
      <c r="BR286" s="12"/>
      <c r="BU286" s="12"/>
      <c r="BV286" s="12"/>
      <c r="BY286" s="12"/>
      <c r="BZ286" s="12"/>
      <c r="CC286" s="12"/>
      <c r="CD286" s="12"/>
      <c r="CE286"/>
      <c r="CG286" s="12"/>
      <c r="CH286" s="12"/>
      <c r="CJ286" s="12"/>
      <c r="CK286" s="12"/>
      <c r="CN286" s="12"/>
      <c r="CO286" s="12"/>
      <c r="CT286"/>
      <c r="CV286" s="12"/>
      <c r="CW286" s="12"/>
      <c r="CZ286" s="12"/>
      <c r="DA286" s="12"/>
      <c r="DC286" s="12"/>
      <c r="DD286" s="12"/>
      <c r="DE286" s="17"/>
      <c r="DF286" s="17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X286" s="9"/>
      <c r="EY286" s="9"/>
      <c r="EZ286" s="9"/>
      <c r="FA286" s="15"/>
      <c r="FB286" s="14"/>
      <c r="FC286" s="10"/>
      <c r="FD286" s="10"/>
      <c r="FE286" s="10"/>
      <c r="FF286" s="10"/>
      <c r="FG286" s="10"/>
      <c r="FH286" s="10"/>
    </row>
    <row r="287" spans="2:164" x14ac:dyDescent="0.25">
      <c r="B287"/>
      <c r="C287"/>
      <c r="D287"/>
      <c r="E287"/>
      <c r="F287" s="16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 s="16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 s="12"/>
      <c r="AK287" s="12"/>
      <c r="AL287" s="17"/>
      <c r="AN287" s="17"/>
      <c r="AP287" s="17"/>
      <c r="AQ287" s="12"/>
      <c r="AR287" s="12"/>
      <c r="AS287" s="17"/>
      <c r="AT287" s="17"/>
      <c r="AU287" s="12"/>
      <c r="AV287" s="12"/>
      <c r="AW287" s="17"/>
      <c r="AX287" s="12"/>
      <c r="AY287" s="12"/>
      <c r="BA287" s="12"/>
      <c r="BB287" s="12"/>
      <c r="BD287" s="12"/>
      <c r="BE287" s="12"/>
      <c r="BF287" s="17"/>
      <c r="BG287" s="12"/>
      <c r="BH287" s="12"/>
      <c r="BJ287" s="12"/>
      <c r="BK287" s="12"/>
      <c r="BM287" s="12"/>
      <c r="BN287" s="12"/>
      <c r="BQ287" s="12"/>
      <c r="BR287" s="12"/>
      <c r="BU287" s="12"/>
      <c r="BV287" s="12"/>
      <c r="BY287" s="12"/>
      <c r="BZ287" s="12"/>
      <c r="CC287" s="12"/>
      <c r="CD287" s="12"/>
      <c r="CE287"/>
      <c r="CG287" s="12"/>
      <c r="CH287" s="12"/>
      <c r="CJ287" s="12"/>
      <c r="CK287" s="12"/>
      <c r="CN287" s="12"/>
      <c r="CO287" s="12"/>
      <c r="CT287"/>
      <c r="CV287" s="12"/>
      <c r="CW287" s="12"/>
      <c r="CZ287" s="12"/>
      <c r="DA287" s="12"/>
      <c r="DC287" s="12"/>
      <c r="DD287" s="12"/>
      <c r="DE287" s="17"/>
      <c r="DF287" s="1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X287" s="9"/>
      <c r="EY287" s="9"/>
      <c r="EZ287" s="9"/>
      <c r="FA287" s="15"/>
      <c r="FB287" s="14"/>
      <c r="FC287" s="10"/>
      <c r="FD287" s="10"/>
      <c r="FE287" s="10"/>
      <c r="FF287" s="10"/>
      <c r="FG287" s="10"/>
      <c r="FH287" s="10"/>
    </row>
    <row r="288" spans="2:164" x14ac:dyDescent="0.25">
      <c r="B288"/>
      <c r="C288"/>
      <c r="D288"/>
      <c r="E288"/>
      <c r="F288" s="16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 s="16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 s="12"/>
      <c r="AK288" s="12"/>
      <c r="AL288" s="17"/>
      <c r="AN288" s="17"/>
      <c r="AP288" s="17"/>
      <c r="AQ288" s="12"/>
      <c r="AR288" s="12"/>
      <c r="AS288" s="17"/>
      <c r="AT288" s="17"/>
      <c r="AU288" s="12"/>
      <c r="AV288" s="12"/>
      <c r="AW288" s="17"/>
      <c r="AX288" s="12"/>
      <c r="AY288" s="12"/>
      <c r="BA288" s="12"/>
      <c r="BB288" s="12"/>
      <c r="BD288" s="12"/>
      <c r="BE288" s="12"/>
      <c r="BF288" s="17"/>
      <c r="BG288" s="12"/>
      <c r="BH288" s="12"/>
      <c r="BJ288" s="12"/>
      <c r="BK288" s="12"/>
      <c r="BM288" s="12"/>
      <c r="BN288" s="12"/>
      <c r="BQ288" s="12"/>
      <c r="BR288" s="12"/>
      <c r="BU288" s="12"/>
      <c r="BV288" s="12"/>
      <c r="BY288" s="12"/>
      <c r="BZ288" s="12"/>
      <c r="CC288" s="12"/>
      <c r="CD288" s="12"/>
      <c r="CE288"/>
      <c r="CG288" s="12"/>
      <c r="CH288" s="12"/>
      <c r="CJ288" s="12"/>
      <c r="CK288" s="12"/>
      <c r="CN288" s="12"/>
      <c r="CO288" s="12"/>
      <c r="CT288"/>
      <c r="CV288" s="12"/>
      <c r="CW288" s="12"/>
      <c r="CZ288" s="12"/>
      <c r="DA288" s="12"/>
      <c r="DC288" s="12"/>
      <c r="DD288" s="12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X288" s="9"/>
      <c r="EY288" s="9"/>
      <c r="EZ288" s="9"/>
      <c r="FA288" s="15"/>
      <c r="FB288" s="14"/>
      <c r="FC288" s="10"/>
      <c r="FD288" s="10"/>
      <c r="FE288" s="10"/>
      <c r="FF288" s="10"/>
      <c r="FG288" s="10"/>
      <c r="FH288" s="10"/>
    </row>
    <row r="289" spans="2:164" x14ac:dyDescent="0.25">
      <c r="B289"/>
      <c r="C289"/>
      <c r="D289"/>
      <c r="E289"/>
      <c r="F289" s="16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 s="16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 s="12"/>
      <c r="AK289" s="12"/>
      <c r="AL289" s="17"/>
      <c r="AN289" s="17"/>
      <c r="AP289" s="17"/>
      <c r="AQ289" s="12"/>
      <c r="AR289" s="12"/>
      <c r="AS289" s="17"/>
      <c r="AT289" s="17"/>
      <c r="AU289" s="12"/>
      <c r="AV289" s="12"/>
      <c r="AW289" s="17"/>
      <c r="AX289" s="12"/>
      <c r="AY289" s="12"/>
      <c r="BA289" s="12"/>
      <c r="BB289" s="12"/>
      <c r="BD289" s="12"/>
      <c r="BE289" s="12"/>
      <c r="BF289" s="17"/>
      <c r="BG289" s="12"/>
      <c r="BH289" s="12"/>
      <c r="BJ289" s="12"/>
      <c r="BK289" s="12"/>
      <c r="BM289" s="12"/>
      <c r="BN289" s="12"/>
      <c r="BO289" s="17"/>
      <c r="BQ289" s="12"/>
      <c r="BR289" s="12"/>
      <c r="BU289" s="12"/>
      <c r="BV289" s="12"/>
      <c r="BY289" s="12"/>
      <c r="BZ289" s="12"/>
      <c r="CC289" s="12"/>
      <c r="CD289" s="12"/>
      <c r="CE289"/>
      <c r="CG289" s="12"/>
      <c r="CH289" s="12"/>
      <c r="CJ289" s="12"/>
      <c r="CK289" s="12"/>
      <c r="CN289" s="12"/>
      <c r="CO289" s="12"/>
      <c r="CT289"/>
      <c r="CV289" s="12"/>
      <c r="CW289" s="12"/>
      <c r="CZ289" s="12"/>
      <c r="DA289" s="12"/>
      <c r="DC289" s="12"/>
      <c r="DD289" s="12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X289" s="9"/>
      <c r="EY289" s="9"/>
      <c r="EZ289" s="9"/>
      <c r="FA289" s="15"/>
      <c r="FB289" s="14"/>
      <c r="FC289" s="10"/>
      <c r="FD289" s="10"/>
      <c r="FE289" s="10"/>
      <c r="FF289" s="10"/>
      <c r="FG289" s="10"/>
      <c r="FH289" s="10"/>
    </row>
    <row r="290" spans="2:164" x14ac:dyDescent="0.25">
      <c r="B290"/>
      <c r="C290"/>
      <c r="D290"/>
      <c r="E290"/>
      <c r="F290" s="16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 s="16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 s="12"/>
      <c r="AK290" s="12"/>
      <c r="AL290" s="17"/>
      <c r="AN290" s="17"/>
      <c r="AP290" s="17"/>
      <c r="AQ290" s="12"/>
      <c r="AR290" s="12"/>
      <c r="AS290" s="17"/>
      <c r="AT290" s="17"/>
      <c r="AU290" s="12"/>
      <c r="AV290" s="12"/>
      <c r="AW290" s="17"/>
      <c r="AX290" s="12"/>
      <c r="AY290" s="12"/>
      <c r="BA290" s="12"/>
      <c r="BB290" s="12"/>
      <c r="BD290" s="12"/>
      <c r="BE290" s="12"/>
      <c r="BF290" s="17"/>
      <c r="BG290" s="12"/>
      <c r="BH290" s="12"/>
      <c r="BJ290" s="12"/>
      <c r="BK290" s="12"/>
      <c r="BM290" s="12"/>
      <c r="BN290" s="12"/>
      <c r="BO290" s="17"/>
      <c r="BQ290" s="12"/>
      <c r="BR290" s="12"/>
      <c r="BU290" s="12"/>
      <c r="BV290" s="12"/>
      <c r="BY290" s="12"/>
      <c r="BZ290" s="12"/>
      <c r="CC290" s="12"/>
      <c r="CD290" s="12"/>
      <c r="CE290"/>
      <c r="CG290" s="12"/>
      <c r="CH290" s="12"/>
      <c r="CJ290" s="12"/>
      <c r="CK290" s="12"/>
      <c r="CN290" s="12"/>
      <c r="CO290" s="12"/>
      <c r="CT290"/>
      <c r="CV290" s="12"/>
      <c r="CW290" s="12"/>
      <c r="CZ290" s="12"/>
      <c r="DA290" s="12"/>
      <c r="DC290" s="12"/>
      <c r="DD290" s="12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X290" s="9"/>
      <c r="EY290" s="9"/>
      <c r="EZ290" s="9"/>
      <c r="FA290" s="15"/>
      <c r="FB290" s="14"/>
      <c r="FC290" s="10"/>
      <c r="FD290" s="10"/>
      <c r="FE290" s="10"/>
      <c r="FF290" s="10"/>
      <c r="FG290" s="10"/>
      <c r="FH290" s="10"/>
    </row>
    <row r="291" spans="2:164" x14ac:dyDescent="0.25">
      <c r="B291"/>
      <c r="C291"/>
      <c r="D291"/>
      <c r="E291"/>
      <c r="F291" s="16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 s="16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 s="12"/>
      <c r="AK291" s="12"/>
      <c r="AL291" s="17"/>
      <c r="AP291" s="17"/>
      <c r="AQ291" s="12"/>
      <c r="AR291" s="12"/>
      <c r="AS291" s="17"/>
      <c r="AT291" s="17"/>
      <c r="AU291" s="12"/>
      <c r="AV291" s="12"/>
      <c r="AW291" s="17"/>
      <c r="AX291" s="12"/>
      <c r="AY291" s="12"/>
      <c r="BA291" s="12"/>
      <c r="BB291" s="12"/>
      <c r="BD291" s="12"/>
      <c r="BE291" s="12"/>
      <c r="BF291" s="17"/>
      <c r="BG291" s="12"/>
      <c r="BH291" s="12"/>
      <c r="BJ291" s="12"/>
      <c r="BK291" s="12"/>
      <c r="BM291" s="12"/>
      <c r="BN291" s="12"/>
      <c r="BQ291" s="12"/>
      <c r="BR291" s="12"/>
      <c r="BU291" s="12"/>
      <c r="BV291" s="12"/>
      <c r="BY291" s="12"/>
      <c r="BZ291" s="12"/>
      <c r="CC291" s="12"/>
      <c r="CD291" s="12"/>
      <c r="CG291" s="12"/>
      <c r="CH291" s="12"/>
      <c r="CJ291" s="12"/>
      <c r="CK291" s="12"/>
      <c r="CN291" s="12"/>
      <c r="CO291" s="12"/>
      <c r="CT291"/>
      <c r="CV291" s="12"/>
      <c r="CW291" s="12"/>
      <c r="CZ291" s="12"/>
      <c r="DA291" s="12"/>
      <c r="DC291" s="12"/>
      <c r="DD291" s="12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X291" s="9"/>
      <c r="EY291" s="9"/>
      <c r="EZ291" s="9"/>
      <c r="FA291" s="15"/>
      <c r="FB291" s="14"/>
      <c r="FC291" s="10"/>
      <c r="FD291" s="10"/>
      <c r="FE291" s="10"/>
      <c r="FF291" s="10"/>
      <c r="FG291" s="10"/>
      <c r="FH291" s="10"/>
    </row>
    <row r="292" spans="2:164" x14ac:dyDescent="0.25">
      <c r="B292"/>
      <c r="C292"/>
      <c r="D292"/>
      <c r="E292"/>
      <c r="F292" s="16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 s="16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 s="12"/>
      <c r="AK292" s="12"/>
      <c r="AL292" s="17"/>
      <c r="AN292" s="17"/>
      <c r="AP292" s="17"/>
      <c r="AQ292" s="12"/>
      <c r="AR292" s="12"/>
      <c r="AT292" s="17"/>
      <c r="AU292" s="12"/>
      <c r="AV292" s="12"/>
      <c r="AW292" s="17"/>
      <c r="AX292" s="12"/>
      <c r="AY292" s="12"/>
      <c r="BA292" s="12"/>
      <c r="BB292" s="12"/>
      <c r="BD292" s="12"/>
      <c r="BE292" s="12"/>
      <c r="BG292" s="12"/>
      <c r="BH292" s="12"/>
      <c r="BJ292" s="12"/>
      <c r="BK292" s="12"/>
      <c r="BM292" s="12"/>
      <c r="BN292" s="12"/>
      <c r="BO292" s="17"/>
      <c r="BQ292" s="12"/>
      <c r="BR292" s="12"/>
      <c r="BU292" s="12"/>
      <c r="BV292" s="12"/>
      <c r="BW292" s="17"/>
      <c r="BX292" s="17"/>
      <c r="BY292" s="12"/>
      <c r="BZ292" s="12"/>
      <c r="CC292" s="12"/>
      <c r="CD292" s="12"/>
      <c r="CG292" s="12"/>
      <c r="CH292" s="12"/>
      <c r="CI292" s="17"/>
      <c r="CJ292" s="12"/>
      <c r="CK292" s="12"/>
      <c r="CN292" s="12"/>
      <c r="CO292" s="12"/>
      <c r="CT292"/>
      <c r="CV292" s="12"/>
      <c r="CW292" s="12"/>
      <c r="CZ292" s="12"/>
      <c r="DA292" s="12"/>
      <c r="DC292" s="12"/>
      <c r="DD292" s="12"/>
      <c r="DF292" s="17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X292" s="9"/>
      <c r="EY292" s="9"/>
      <c r="EZ292" s="9"/>
      <c r="FA292" s="15"/>
      <c r="FB292" s="14"/>
      <c r="FC292" s="10"/>
      <c r="FD292" s="10"/>
      <c r="FE292" s="10"/>
      <c r="FF292" s="10"/>
      <c r="FG292" s="10"/>
      <c r="FH292" s="10"/>
    </row>
    <row r="293" spans="2:164" x14ac:dyDescent="0.25">
      <c r="B293"/>
      <c r="C293"/>
      <c r="D293"/>
      <c r="E293"/>
      <c r="F293" s="16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 s="16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s="12"/>
      <c r="AK293" s="12"/>
      <c r="AL293" s="17"/>
      <c r="AN293" s="17"/>
      <c r="AP293" s="17"/>
      <c r="AQ293" s="12"/>
      <c r="AR293" s="12"/>
      <c r="AT293" s="17"/>
      <c r="AU293" s="12"/>
      <c r="AV293" s="12"/>
      <c r="AW293" s="17"/>
      <c r="AX293" s="12"/>
      <c r="AY293" s="12"/>
      <c r="BA293" s="12"/>
      <c r="BB293" s="12"/>
      <c r="BD293" s="12"/>
      <c r="BE293" s="12"/>
      <c r="BG293" s="12"/>
      <c r="BH293" s="12"/>
      <c r="BJ293" s="12"/>
      <c r="BK293" s="12"/>
      <c r="BM293" s="12"/>
      <c r="BN293" s="12"/>
      <c r="BO293" s="17"/>
      <c r="BQ293" s="12"/>
      <c r="BR293" s="12"/>
      <c r="BU293" s="12"/>
      <c r="BV293" s="12"/>
      <c r="BY293" s="12"/>
      <c r="BZ293" s="12"/>
      <c r="CA293" s="17"/>
      <c r="CB293" s="17"/>
      <c r="CC293" s="12"/>
      <c r="CD293" s="12"/>
      <c r="CG293" s="12"/>
      <c r="CH293" s="12"/>
      <c r="CJ293" s="12"/>
      <c r="CK293" s="12"/>
      <c r="CN293" s="12"/>
      <c r="CO293" s="12"/>
      <c r="CT293"/>
      <c r="CV293" s="12"/>
      <c r="CW293" s="12"/>
      <c r="CZ293" s="12"/>
      <c r="DA293" s="12"/>
      <c r="DC293" s="12"/>
      <c r="DD293" s="12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X293" s="9"/>
      <c r="EY293" s="9"/>
      <c r="EZ293" s="9"/>
      <c r="FA293" s="15"/>
      <c r="FB293" s="14"/>
      <c r="FC293" s="10"/>
      <c r="FD293" s="10"/>
      <c r="FE293" s="10"/>
      <c r="FF293" s="10"/>
      <c r="FG293" s="10"/>
      <c r="FH293" s="10"/>
    </row>
    <row r="294" spans="2:164" x14ac:dyDescent="0.25">
      <c r="B294"/>
      <c r="C294"/>
      <c r="D294"/>
      <c r="E294"/>
      <c r="F294" s="16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 s="16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s="12"/>
      <c r="AK294" s="12"/>
      <c r="AL294" s="17"/>
      <c r="AN294" s="17"/>
      <c r="AP294" s="17"/>
      <c r="AQ294" s="12"/>
      <c r="AR294" s="12"/>
      <c r="AT294" s="17"/>
      <c r="AU294" s="12"/>
      <c r="AV294" s="12"/>
      <c r="AW294" s="17"/>
      <c r="AX294" s="12"/>
      <c r="AY294" s="12"/>
      <c r="BA294" s="12"/>
      <c r="BB294" s="12"/>
      <c r="BD294" s="12"/>
      <c r="BE294" s="12"/>
      <c r="BG294" s="12"/>
      <c r="BH294" s="12"/>
      <c r="BJ294" s="12"/>
      <c r="BK294" s="12"/>
      <c r="BM294" s="12"/>
      <c r="BN294" s="12"/>
      <c r="BO294" s="17"/>
      <c r="BQ294" s="12"/>
      <c r="BR294" s="12"/>
      <c r="BS294" s="17"/>
      <c r="BT294" s="17"/>
      <c r="BU294" s="12"/>
      <c r="BV294" s="12"/>
      <c r="BY294" s="12"/>
      <c r="BZ294" s="12"/>
      <c r="CC294" s="12"/>
      <c r="CD294" s="12"/>
      <c r="CG294" s="12"/>
      <c r="CH294" s="12"/>
      <c r="CI294" s="17"/>
      <c r="CJ294" s="12"/>
      <c r="CK294" s="12"/>
      <c r="CN294" s="12"/>
      <c r="CO294" s="12"/>
      <c r="CT294"/>
      <c r="CV294" s="12"/>
      <c r="CW294" s="12"/>
      <c r="CZ294" s="12"/>
      <c r="DA294" s="12"/>
      <c r="DC294" s="12"/>
      <c r="DD294" s="12"/>
      <c r="DE294" s="17"/>
      <c r="DF294" s="17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X294" s="9"/>
      <c r="EY294" s="9"/>
      <c r="EZ294" s="9"/>
      <c r="FA294" s="15"/>
      <c r="FB294" s="14"/>
      <c r="FC294" s="10"/>
      <c r="FD294" s="10"/>
      <c r="FE294" s="10"/>
      <c r="FF294" s="10"/>
      <c r="FG294" s="10"/>
      <c r="FH294" s="10"/>
    </row>
    <row r="295" spans="2:164" x14ac:dyDescent="0.25">
      <c r="B295"/>
      <c r="C295"/>
      <c r="D295"/>
      <c r="E295"/>
      <c r="F295" s="16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 s="16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 s="12"/>
      <c r="AK295" s="12"/>
      <c r="AL295" s="17"/>
      <c r="AN295" s="17"/>
      <c r="AP295" s="17"/>
      <c r="AQ295" s="12"/>
      <c r="AR295" s="12"/>
      <c r="AT295" s="17"/>
      <c r="AU295" s="12"/>
      <c r="AV295" s="12"/>
      <c r="AW295" s="17"/>
      <c r="AX295" s="12"/>
      <c r="AY295" s="12"/>
      <c r="BA295" s="12"/>
      <c r="BB295" s="12"/>
      <c r="BC295" s="17"/>
      <c r="BD295" s="12"/>
      <c r="BE295" s="12"/>
      <c r="BG295" s="12"/>
      <c r="BH295" s="12"/>
      <c r="BJ295" s="12"/>
      <c r="BK295" s="12"/>
      <c r="BM295" s="12"/>
      <c r="BN295" s="12"/>
      <c r="BO295" s="17"/>
      <c r="BQ295" s="12"/>
      <c r="BR295" s="12"/>
      <c r="BU295" s="12"/>
      <c r="BV295" s="12"/>
      <c r="BW295" s="17"/>
      <c r="BX295" s="17"/>
      <c r="BY295" s="12"/>
      <c r="BZ295" s="12"/>
      <c r="CC295" s="12"/>
      <c r="CD295" s="12"/>
      <c r="CG295" s="12"/>
      <c r="CH295" s="12"/>
      <c r="CJ295" s="12"/>
      <c r="CK295" s="12"/>
      <c r="CL295" s="17"/>
      <c r="CM295" s="17"/>
      <c r="CN295" s="12"/>
      <c r="CO295" s="12"/>
      <c r="CT295"/>
      <c r="CV295" s="12"/>
      <c r="CW295" s="12"/>
      <c r="CZ295" s="12"/>
      <c r="DA295" s="12"/>
      <c r="DC295" s="12"/>
      <c r="DD295" s="12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X295" s="9"/>
      <c r="EY295" s="9"/>
      <c r="EZ295" s="9"/>
      <c r="FA295" s="15"/>
      <c r="FB295" s="14"/>
      <c r="FC295" s="10"/>
      <c r="FD295" s="10"/>
      <c r="FE295" s="10"/>
      <c r="FF295" s="10"/>
      <c r="FG295" s="10"/>
      <c r="FH295" s="10"/>
    </row>
    <row r="296" spans="2:164" x14ac:dyDescent="0.25">
      <c r="B296"/>
      <c r="C296"/>
      <c r="D296"/>
      <c r="E296"/>
      <c r="F296" s="1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 s="1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s="12"/>
      <c r="AK296" s="12"/>
      <c r="AL296" s="17"/>
      <c r="AN296" s="17"/>
      <c r="AP296" s="17"/>
      <c r="AQ296" s="12"/>
      <c r="AR296" s="12"/>
      <c r="AT296" s="17"/>
      <c r="AU296" s="12"/>
      <c r="AV296" s="12"/>
      <c r="AW296" s="17"/>
      <c r="AX296" s="12"/>
      <c r="AY296" s="12"/>
      <c r="BA296" s="12"/>
      <c r="BB296" s="12"/>
      <c r="BC296" s="17"/>
      <c r="BD296" s="12"/>
      <c r="BE296" s="12"/>
      <c r="BG296" s="12"/>
      <c r="BH296" s="12"/>
      <c r="BJ296" s="12"/>
      <c r="BK296" s="12"/>
      <c r="BM296" s="12"/>
      <c r="BN296" s="12"/>
      <c r="BO296" s="17"/>
      <c r="BQ296" s="12"/>
      <c r="BR296" s="12"/>
      <c r="BU296" s="12"/>
      <c r="BV296" s="12"/>
      <c r="BY296" s="12"/>
      <c r="BZ296" s="12"/>
      <c r="CC296" s="12"/>
      <c r="CD296" s="12"/>
      <c r="CG296" s="12"/>
      <c r="CH296" s="12"/>
      <c r="CJ296" s="12"/>
      <c r="CK296" s="12"/>
      <c r="CN296" s="12"/>
      <c r="CO296" s="12"/>
      <c r="CT296"/>
      <c r="CV296" s="12"/>
      <c r="CW296" s="12"/>
      <c r="CZ296" s="12"/>
      <c r="DA296" s="12"/>
      <c r="DC296" s="12"/>
      <c r="DD296" s="12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X296" s="9"/>
      <c r="EY296" s="9"/>
      <c r="EZ296" s="9"/>
      <c r="FA296" s="15"/>
      <c r="FB296" s="14"/>
      <c r="FC296" s="10"/>
      <c r="FD296" s="10"/>
      <c r="FE296" s="10"/>
      <c r="FF296" s="10"/>
      <c r="FG296" s="10"/>
      <c r="FH296" s="10"/>
    </row>
    <row r="297" spans="2:164" x14ac:dyDescent="0.25">
      <c r="B297"/>
      <c r="C297"/>
      <c r="D297"/>
      <c r="E297"/>
      <c r="F297" s="16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 s="16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s="12"/>
      <c r="AK297" s="12"/>
      <c r="AL297" s="17"/>
      <c r="AN297" s="17"/>
      <c r="AP297" s="17"/>
      <c r="AQ297" s="12"/>
      <c r="AR297" s="12"/>
      <c r="AT297" s="17"/>
      <c r="AU297" s="12"/>
      <c r="AV297" s="12"/>
      <c r="AW297" s="17"/>
      <c r="AX297" s="12"/>
      <c r="AY297" s="12"/>
      <c r="BA297" s="12"/>
      <c r="BB297" s="12"/>
      <c r="BD297" s="12"/>
      <c r="BE297" s="12"/>
      <c r="BG297" s="12"/>
      <c r="BH297" s="12"/>
      <c r="BJ297" s="12"/>
      <c r="BK297" s="12"/>
      <c r="BM297" s="12"/>
      <c r="BN297" s="12"/>
      <c r="BO297" s="17"/>
      <c r="BQ297" s="12"/>
      <c r="BR297" s="12"/>
      <c r="BU297" s="12"/>
      <c r="BV297" s="12"/>
      <c r="BW297" s="17"/>
      <c r="BX297" s="17"/>
      <c r="BY297" s="12"/>
      <c r="BZ297" s="12"/>
      <c r="CC297" s="12"/>
      <c r="CD297" s="12"/>
      <c r="CG297" s="12"/>
      <c r="CH297" s="12"/>
      <c r="CI297" s="17"/>
      <c r="CJ297" s="12"/>
      <c r="CK297" s="12"/>
      <c r="CN297" s="12"/>
      <c r="CO297" s="12"/>
      <c r="CT297"/>
      <c r="CV297" s="12"/>
      <c r="CW297" s="12"/>
      <c r="CZ297" s="12"/>
      <c r="DA297" s="12"/>
      <c r="DC297" s="12"/>
      <c r="DD297" s="12"/>
      <c r="DF297" s="1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X297" s="9"/>
      <c r="EY297" s="9"/>
      <c r="EZ297" s="9"/>
      <c r="FA297" s="15"/>
      <c r="FB297" s="14"/>
      <c r="FC297" s="10"/>
      <c r="FD297" s="10"/>
      <c r="FE297" s="10"/>
      <c r="FF297" s="10"/>
      <c r="FG297" s="10"/>
      <c r="FH297" s="10"/>
    </row>
    <row r="298" spans="2:164" x14ac:dyDescent="0.25">
      <c r="B298"/>
      <c r="C298"/>
      <c r="D298"/>
      <c r="E298"/>
      <c r="F298" s="16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 s="16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 s="12"/>
      <c r="AK298" s="12"/>
      <c r="AL298" s="17"/>
      <c r="AN298" s="17"/>
      <c r="AP298" s="17"/>
      <c r="AQ298" s="12"/>
      <c r="AR298" s="12"/>
      <c r="AT298" s="17"/>
      <c r="AU298" s="12"/>
      <c r="AV298" s="12"/>
      <c r="AW298" s="17"/>
      <c r="AX298" s="12"/>
      <c r="AY298" s="12"/>
      <c r="BA298" s="12"/>
      <c r="BB298" s="12"/>
      <c r="BC298" s="17"/>
      <c r="BD298" s="12"/>
      <c r="BE298" s="12"/>
      <c r="BG298" s="12"/>
      <c r="BH298" s="12"/>
      <c r="BJ298" s="12"/>
      <c r="BK298" s="12"/>
      <c r="BM298" s="12"/>
      <c r="BN298" s="12"/>
      <c r="BO298" s="17"/>
      <c r="BQ298" s="12"/>
      <c r="BR298" s="12"/>
      <c r="BU298" s="12"/>
      <c r="BV298" s="12"/>
      <c r="BW298" s="17"/>
      <c r="BX298" s="17"/>
      <c r="BY298" s="12"/>
      <c r="BZ298" s="12"/>
      <c r="CC298" s="12"/>
      <c r="CD298" s="12"/>
      <c r="CG298" s="12"/>
      <c r="CH298" s="12"/>
      <c r="CI298" s="17"/>
      <c r="CJ298" s="12"/>
      <c r="CK298" s="12"/>
      <c r="CN298" s="12"/>
      <c r="CO298" s="12"/>
      <c r="CT298"/>
      <c r="CV298" s="12"/>
      <c r="CW298" s="12"/>
      <c r="CZ298" s="12"/>
      <c r="DA298" s="12"/>
      <c r="DC298" s="12"/>
      <c r="DD298" s="12"/>
      <c r="DE298" s="17"/>
      <c r="DF298" s="17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X298" s="9"/>
      <c r="EY298" s="9"/>
      <c r="EZ298" s="9"/>
      <c r="FA298" s="15"/>
      <c r="FB298" s="14"/>
      <c r="FC298" s="10"/>
      <c r="FD298" s="10"/>
      <c r="FE298" s="10"/>
      <c r="FF298" s="10"/>
      <c r="FG298" s="10"/>
      <c r="FH298" s="10"/>
    </row>
    <row r="299" spans="2:164" x14ac:dyDescent="0.25">
      <c r="B299"/>
      <c r="C299"/>
      <c r="D299"/>
      <c r="E299"/>
      <c r="F299" s="16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 s="16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 s="12"/>
      <c r="AK299" s="12"/>
      <c r="AL299" s="17"/>
      <c r="AN299" s="17"/>
      <c r="AP299" s="17"/>
      <c r="AQ299" s="12"/>
      <c r="AR299" s="12"/>
      <c r="AT299" s="17"/>
      <c r="AU299" s="12"/>
      <c r="AV299" s="12"/>
      <c r="AW299" s="17"/>
      <c r="AX299" s="12"/>
      <c r="AY299" s="12"/>
      <c r="BA299" s="12"/>
      <c r="BB299" s="12"/>
      <c r="BC299" s="17"/>
      <c r="BD299" s="12"/>
      <c r="BE299" s="12"/>
      <c r="BG299" s="12"/>
      <c r="BH299" s="12"/>
      <c r="BJ299" s="12"/>
      <c r="BK299" s="12"/>
      <c r="BM299" s="12"/>
      <c r="BN299" s="12"/>
      <c r="BO299" s="17"/>
      <c r="BQ299" s="12"/>
      <c r="BR299" s="12"/>
      <c r="BU299" s="12"/>
      <c r="BV299" s="12"/>
      <c r="BY299" s="12"/>
      <c r="BZ299" s="12"/>
      <c r="CC299" s="12"/>
      <c r="CD299" s="12"/>
      <c r="CG299" s="12"/>
      <c r="CH299" s="12"/>
      <c r="CJ299" s="12"/>
      <c r="CK299" s="12"/>
      <c r="CN299" s="12"/>
      <c r="CO299" s="12"/>
      <c r="CT299"/>
      <c r="CV299" s="12"/>
      <c r="CW299" s="12"/>
      <c r="CZ299" s="12"/>
      <c r="DA299" s="12"/>
      <c r="DC299" s="12"/>
      <c r="DD299" s="12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X299" s="9"/>
      <c r="EY299" s="9"/>
      <c r="EZ299" s="9"/>
      <c r="FA299" s="15"/>
      <c r="FB299" s="14"/>
      <c r="FC299" s="10"/>
      <c r="FD299" s="10"/>
      <c r="FE299" s="10"/>
      <c r="FF299" s="10"/>
      <c r="FG299" s="10"/>
      <c r="FH299" s="10"/>
    </row>
    <row r="300" spans="2:164" x14ac:dyDescent="0.25">
      <c r="B300"/>
      <c r="C300"/>
      <c r="D300"/>
      <c r="E300"/>
      <c r="F300" s="16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 s="16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 s="12"/>
      <c r="AK300" s="12"/>
      <c r="AL300" s="17"/>
      <c r="AN300" s="17"/>
      <c r="AP300" s="17"/>
      <c r="AQ300" s="12"/>
      <c r="AR300" s="12"/>
      <c r="AT300" s="17"/>
      <c r="AU300" s="12"/>
      <c r="AV300" s="12"/>
      <c r="AW300" s="17"/>
      <c r="AX300" s="12"/>
      <c r="AY300" s="12"/>
      <c r="BA300" s="12"/>
      <c r="BB300" s="12"/>
      <c r="BD300" s="12"/>
      <c r="BE300" s="12"/>
      <c r="BG300" s="12"/>
      <c r="BH300" s="12"/>
      <c r="BJ300" s="12"/>
      <c r="BK300" s="12"/>
      <c r="BM300" s="12"/>
      <c r="BN300" s="12"/>
      <c r="BO300" s="17"/>
      <c r="BQ300" s="12"/>
      <c r="BR300" s="12"/>
      <c r="BU300" s="12"/>
      <c r="BV300" s="12"/>
      <c r="BW300" s="17"/>
      <c r="BX300" s="17"/>
      <c r="BY300" s="12"/>
      <c r="BZ300" s="12"/>
      <c r="CC300" s="12"/>
      <c r="CD300" s="12"/>
      <c r="CG300" s="12"/>
      <c r="CH300" s="12"/>
      <c r="CJ300" s="12"/>
      <c r="CK300" s="12"/>
      <c r="CL300" s="17"/>
      <c r="CM300" s="17"/>
      <c r="CN300" s="12"/>
      <c r="CO300" s="12"/>
      <c r="CT300"/>
      <c r="CV300" s="12"/>
      <c r="CW300" s="12"/>
      <c r="CZ300" s="12"/>
      <c r="DA300" s="12"/>
      <c r="DC300" s="12"/>
      <c r="DD300" s="12"/>
      <c r="DE300" s="17"/>
      <c r="DF300" s="17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X300" s="9"/>
      <c r="EY300" s="9"/>
      <c r="EZ300" s="9"/>
      <c r="FA300" s="15"/>
      <c r="FB300" s="14"/>
      <c r="FC300" s="10"/>
      <c r="FD300" s="10"/>
      <c r="FE300" s="10"/>
      <c r="FF300" s="10"/>
      <c r="FG300" s="10"/>
      <c r="FH300" s="10"/>
    </row>
    <row r="301" spans="2:164" x14ac:dyDescent="0.25">
      <c r="B301"/>
      <c r="C301"/>
      <c r="D301"/>
      <c r="E301"/>
      <c r="F301" s="16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 s="16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 s="12"/>
      <c r="AK301" s="12"/>
      <c r="AL301" s="17"/>
      <c r="AN301" s="17"/>
      <c r="AP301" s="17"/>
      <c r="AQ301" s="12"/>
      <c r="AR301" s="12"/>
      <c r="AT301" s="17"/>
      <c r="AU301" s="12"/>
      <c r="AV301" s="12"/>
      <c r="AW301" s="17"/>
      <c r="AX301" s="12"/>
      <c r="AY301" s="12"/>
      <c r="BA301" s="12"/>
      <c r="BB301" s="12"/>
      <c r="BD301" s="12"/>
      <c r="BE301" s="12"/>
      <c r="BG301" s="12"/>
      <c r="BH301" s="12"/>
      <c r="BJ301" s="12"/>
      <c r="BK301" s="12"/>
      <c r="BM301" s="12"/>
      <c r="BN301" s="12"/>
      <c r="BO301" s="17"/>
      <c r="BQ301" s="12"/>
      <c r="BR301" s="12"/>
      <c r="BU301" s="12"/>
      <c r="BV301" s="12"/>
      <c r="BW301" s="17"/>
      <c r="BX301" s="17"/>
      <c r="BY301" s="12"/>
      <c r="BZ301" s="12"/>
      <c r="CC301" s="12"/>
      <c r="CD301" s="12"/>
      <c r="CG301" s="12"/>
      <c r="CH301" s="12"/>
      <c r="CI301" s="17"/>
      <c r="CJ301" s="12"/>
      <c r="CK301" s="12"/>
      <c r="CN301" s="12"/>
      <c r="CO301" s="12"/>
      <c r="CT301"/>
      <c r="CV301" s="12"/>
      <c r="CW301" s="12"/>
      <c r="CZ301" s="12"/>
      <c r="DA301" s="12"/>
      <c r="DC301" s="12"/>
      <c r="DD301" s="12"/>
      <c r="DF301" s="17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X301" s="9"/>
      <c r="EY301" s="9"/>
      <c r="EZ301" s="9"/>
      <c r="FA301" s="15"/>
      <c r="FB301" s="14"/>
      <c r="FC301" s="10"/>
      <c r="FD301" s="10"/>
      <c r="FE301" s="10"/>
      <c r="FF301" s="10"/>
      <c r="FG301" s="10"/>
      <c r="FH301" s="10"/>
    </row>
    <row r="302" spans="2:164" x14ac:dyDescent="0.25">
      <c r="B302"/>
      <c r="C302"/>
      <c r="D302"/>
      <c r="E302"/>
      <c r="F302" s="16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 s="16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 s="12"/>
      <c r="AK302" s="12"/>
      <c r="AL302" s="17"/>
      <c r="AN302" s="17"/>
      <c r="AP302" s="17"/>
      <c r="AQ302" s="12"/>
      <c r="AR302" s="12"/>
      <c r="AT302" s="17"/>
      <c r="AU302" s="12"/>
      <c r="AV302" s="12"/>
      <c r="AW302" s="17"/>
      <c r="AX302" s="12"/>
      <c r="AY302" s="12"/>
      <c r="AZ302" s="17"/>
      <c r="BA302" s="12"/>
      <c r="BB302" s="12"/>
      <c r="BD302" s="12"/>
      <c r="BE302" s="12"/>
      <c r="BG302" s="12"/>
      <c r="BH302" s="12"/>
      <c r="BJ302" s="12"/>
      <c r="BK302" s="12"/>
      <c r="BM302" s="12"/>
      <c r="BN302" s="12"/>
      <c r="BO302" s="17"/>
      <c r="BQ302" s="12"/>
      <c r="BR302" s="12"/>
      <c r="BU302" s="12"/>
      <c r="BV302" s="12"/>
      <c r="BW302" s="17"/>
      <c r="BX302" s="17"/>
      <c r="BY302" s="12"/>
      <c r="BZ302" s="12"/>
      <c r="CC302" s="12"/>
      <c r="CD302" s="12"/>
      <c r="CG302" s="12"/>
      <c r="CH302" s="12"/>
      <c r="CI302" s="17"/>
      <c r="CJ302" s="12"/>
      <c r="CK302" s="12"/>
      <c r="CN302" s="12"/>
      <c r="CO302" s="12"/>
      <c r="CT302"/>
      <c r="CV302" s="12"/>
      <c r="CW302" s="12"/>
      <c r="CZ302" s="12"/>
      <c r="DA302" s="12"/>
      <c r="DC302" s="12"/>
      <c r="DD302" s="12"/>
      <c r="DE302" s="17"/>
      <c r="DF302" s="17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X302" s="9"/>
      <c r="EY302" s="9"/>
      <c r="EZ302" s="9"/>
      <c r="FA302" s="15"/>
      <c r="FB302" s="14"/>
      <c r="FC302" s="10"/>
      <c r="FD302" s="10"/>
      <c r="FE302" s="10"/>
      <c r="FF302" s="10"/>
      <c r="FG302" s="10"/>
      <c r="FH302" s="10"/>
    </row>
    <row r="303" spans="2:164" x14ac:dyDescent="0.25">
      <c r="B303"/>
      <c r="C303"/>
      <c r="D303"/>
      <c r="E303"/>
      <c r="F303" s="16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 s="16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 s="12"/>
      <c r="AK303" s="12"/>
      <c r="AL303" s="17"/>
      <c r="AN303" s="17"/>
      <c r="AP303" s="17"/>
      <c r="AQ303" s="12"/>
      <c r="AR303" s="12"/>
      <c r="AT303" s="17"/>
      <c r="AU303" s="12"/>
      <c r="AV303" s="12"/>
      <c r="AW303" s="17"/>
      <c r="AX303" s="12"/>
      <c r="AY303" s="12"/>
      <c r="BA303" s="12"/>
      <c r="BB303" s="12"/>
      <c r="BC303" s="17"/>
      <c r="BD303" s="12"/>
      <c r="BE303" s="12"/>
      <c r="BG303" s="12"/>
      <c r="BH303" s="12"/>
      <c r="BJ303" s="12"/>
      <c r="BK303" s="12"/>
      <c r="BM303" s="12"/>
      <c r="BN303" s="12"/>
      <c r="BO303" s="17"/>
      <c r="BQ303" s="12"/>
      <c r="BR303" s="12"/>
      <c r="BS303" s="17"/>
      <c r="BT303" s="17"/>
      <c r="BU303" s="12"/>
      <c r="BV303" s="12"/>
      <c r="BY303" s="12"/>
      <c r="BZ303" s="12"/>
      <c r="CC303" s="12"/>
      <c r="CD303" s="12"/>
      <c r="CG303" s="12"/>
      <c r="CH303" s="12"/>
      <c r="CI303" s="17"/>
      <c r="CJ303" s="12"/>
      <c r="CK303" s="12"/>
      <c r="CN303" s="12"/>
      <c r="CO303" s="12"/>
      <c r="CT303"/>
      <c r="CV303" s="12"/>
      <c r="CW303" s="12"/>
      <c r="CZ303" s="12"/>
      <c r="DA303" s="12"/>
      <c r="DC303" s="12"/>
      <c r="DD303" s="12"/>
      <c r="DE303" s="17"/>
      <c r="DF303" s="17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X303" s="9"/>
      <c r="EY303" s="9"/>
      <c r="EZ303" s="9"/>
      <c r="FA303" s="15"/>
      <c r="FB303" s="14"/>
      <c r="FC303" s="10"/>
      <c r="FD303" s="10"/>
      <c r="FE303" s="10"/>
      <c r="FF303" s="10"/>
      <c r="FG303" s="10"/>
      <c r="FH303" s="10"/>
    </row>
    <row r="304" spans="2:164" x14ac:dyDescent="0.25">
      <c r="B304"/>
      <c r="C304"/>
      <c r="D304"/>
      <c r="E304"/>
      <c r="F304" s="16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 s="16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 s="12"/>
      <c r="AK304" s="12"/>
      <c r="AL304" s="17"/>
      <c r="AN304" s="17"/>
      <c r="AP304" s="17"/>
      <c r="AQ304" s="12"/>
      <c r="AR304" s="12"/>
      <c r="AT304" s="17"/>
      <c r="AU304" s="12"/>
      <c r="AV304" s="12"/>
      <c r="AW304" s="17"/>
      <c r="AX304" s="12"/>
      <c r="AY304" s="12"/>
      <c r="BA304" s="12"/>
      <c r="BB304" s="12"/>
      <c r="BC304" s="17"/>
      <c r="BD304" s="12"/>
      <c r="BE304" s="12"/>
      <c r="BG304" s="12"/>
      <c r="BH304" s="12"/>
      <c r="BJ304" s="12"/>
      <c r="BK304" s="12"/>
      <c r="BM304" s="12"/>
      <c r="BN304" s="12"/>
      <c r="BO304" s="17"/>
      <c r="BQ304" s="12"/>
      <c r="BR304" s="12"/>
      <c r="BU304" s="12"/>
      <c r="BV304" s="12"/>
      <c r="BY304" s="12"/>
      <c r="BZ304" s="12"/>
      <c r="CC304" s="12"/>
      <c r="CD304" s="12"/>
      <c r="CG304" s="12"/>
      <c r="CH304" s="12"/>
      <c r="CJ304" s="12"/>
      <c r="CK304" s="12"/>
      <c r="CN304" s="12"/>
      <c r="CO304" s="12"/>
      <c r="CT304"/>
      <c r="CV304" s="12"/>
      <c r="CW304" s="12"/>
      <c r="CZ304" s="12"/>
      <c r="DA304" s="12"/>
      <c r="DC304" s="12"/>
      <c r="DD304" s="12"/>
      <c r="DE304" s="17"/>
      <c r="DF304" s="17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X304" s="9"/>
      <c r="EY304" s="9"/>
      <c r="EZ304" s="9"/>
      <c r="FA304" s="15"/>
      <c r="FB304" s="14"/>
      <c r="FC304" s="10"/>
      <c r="FD304" s="10"/>
      <c r="FE304" s="10"/>
      <c r="FF304" s="10"/>
      <c r="FG304" s="10"/>
      <c r="FH304" s="10"/>
    </row>
    <row r="305" spans="2:164" x14ac:dyDescent="0.25">
      <c r="B305"/>
      <c r="C305"/>
      <c r="D305"/>
      <c r="E305"/>
      <c r="F305" s="16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 s="16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 s="12"/>
      <c r="AK305" s="12"/>
      <c r="AL305" s="17"/>
      <c r="AN305" s="17"/>
      <c r="AP305" s="17"/>
      <c r="AQ305" s="12"/>
      <c r="AR305" s="12"/>
      <c r="AT305" s="17"/>
      <c r="AU305" s="12"/>
      <c r="AV305" s="12"/>
      <c r="AW305" s="17"/>
      <c r="AX305" s="12"/>
      <c r="AY305" s="12"/>
      <c r="BA305" s="12"/>
      <c r="BB305" s="12"/>
      <c r="BD305" s="12"/>
      <c r="BE305" s="12"/>
      <c r="BF305" s="17"/>
      <c r="BG305" s="12"/>
      <c r="BH305" s="12"/>
      <c r="BJ305" s="12"/>
      <c r="BK305" s="12"/>
      <c r="BM305" s="12"/>
      <c r="BN305" s="12"/>
      <c r="BO305" s="17"/>
      <c r="BQ305" s="12"/>
      <c r="BR305" s="12"/>
      <c r="BU305" s="12"/>
      <c r="BV305" s="12"/>
      <c r="BY305" s="12"/>
      <c r="BZ305" s="12"/>
      <c r="CC305" s="12"/>
      <c r="CD305" s="12"/>
      <c r="CG305" s="12"/>
      <c r="CH305" s="12"/>
      <c r="CJ305" s="12"/>
      <c r="CK305" s="12"/>
      <c r="CN305" s="12"/>
      <c r="CO305" s="12"/>
      <c r="CT305"/>
      <c r="CV305" s="12"/>
      <c r="CW305" s="12"/>
      <c r="CZ305" s="12"/>
      <c r="DA305" s="12"/>
      <c r="DC305" s="12"/>
      <c r="DD305" s="12"/>
      <c r="DF305" s="17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X305" s="9"/>
      <c r="EY305" s="9"/>
      <c r="EZ305" s="9"/>
      <c r="FA305" s="15"/>
      <c r="FB305" s="14"/>
      <c r="FC305" s="10"/>
      <c r="FD305" s="10"/>
      <c r="FE305" s="10"/>
      <c r="FF305" s="10"/>
      <c r="FG305" s="10"/>
      <c r="FH305" s="10"/>
    </row>
    <row r="306" spans="2:164" x14ac:dyDescent="0.25">
      <c r="B306"/>
      <c r="C306"/>
      <c r="D306"/>
      <c r="E306"/>
      <c r="F306" s="1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 s="1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 s="12"/>
      <c r="AK306" s="12"/>
      <c r="AL306" s="17"/>
      <c r="AN306" s="17"/>
      <c r="AP306" s="17"/>
      <c r="AQ306" s="12"/>
      <c r="AR306" s="12"/>
      <c r="AT306" s="17"/>
      <c r="AU306" s="12"/>
      <c r="AV306" s="12"/>
      <c r="AW306" s="17"/>
      <c r="AX306" s="12"/>
      <c r="AY306" s="12"/>
      <c r="AZ306" s="17"/>
      <c r="BA306" s="12"/>
      <c r="BB306" s="12"/>
      <c r="BD306" s="12"/>
      <c r="BE306" s="12"/>
      <c r="BG306" s="12"/>
      <c r="BH306" s="12"/>
      <c r="BJ306" s="12"/>
      <c r="BK306" s="12"/>
      <c r="BM306" s="12"/>
      <c r="BN306" s="12"/>
      <c r="BO306" s="17"/>
      <c r="BQ306" s="12"/>
      <c r="BR306" s="12"/>
      <c r="BU306" s="12"/>
      <c r="BV306" s="12"/>
      <c r="BW306" s="17"/>
      <c r="BX306" s="17"/>
      <c r="BY306" s="12"/>
      <c r="BZ306" s="12"/>
      <c r="CC306" s="12"/>
      <c r="CD306" s="12"/>
      <c r="CG306" s="12"/>
      <c r="CH306" s="12"/>
      <c r="CI306" s="17"/>
      <c r="CJ306" s="12"/>
      <c r="CK306" s="12"/>
      <c r="CN306" s="12"/>
      <c r="CO306" s="12"/>
      <c r="CT306"/>
      <c r="CV306" s="12"/>
      <c r="CW306" s="12"/>
      <c r="CZ306" s="12"/>
      <c r="DA306" s="12"/>
      <c r="DB306" s="17"/>
      <c r="DC306" s="12"/>
      <c r="DD306" s="12"/>
      <c r="DE306" s="17"/>
      <c r="DF306" s="17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X306" s="9"/>
      <c r="EY306" s="9"/>
      <c r="EZ306" s="9"/>
      <c r="FA306" s="15"/>
      <c r="FB306" s="14"/>
      <c r="FC306" s="10"/>
      <c r="FD306" s="10"/>
      <c r="FE306" s="10"/>
      <c r="FF306" s="10"/>
      <c r="FG306" s="10"/>
      <c r="FH306" s="10"/>
    </row>
    <row r="307" spans="2:164" x14ac:dyDescent="0.25">
      <c r="B307"/>
      <c r="C307"/>
      <c r="D307"/>
      <c r="E307"/>
      <c r="F307" s="16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 s="16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 s="12"/>
      <c r="AK307" s="12"/>
      <c r="AL307" s="17"/>
      <c r="AN307" s="17"/>
      <c r="AP307" s="17"/>
      <c r="AQ307" s="12"/>
      <c r="AR307" s="12"/>
      <c r="AT307" s="17"/>
      <c r="AU307" s="12"/>
      <c r="AV307" s="12"/>
      <c r="AW307" s="17"/>
      <c r="AX307" s="12"/>
      <c r="AY307" s="12"/>
      <c r="BA307" s="12"/>
      <c r="BB307" s="12"/>
      <c r="BC307" s="17"/>
      <c r="BD307" s="12"/>
      <c r="BE307" s="12"/>
      <c r="BG307" s="12"/>
      <c r="BH307" s="12"/>
      <c r="BJ307" s="12"/>
      <c r="BK307" s="12"/>
      <c r="BM307" s="12"/>
      <c r="BN307" s="12"/>
      <c r="BO307" s="17"/>
      <c r="BQ307" s="12"/>
      <c r="BR307" s="12"/>
      <c r="BU307" s="12"/>
      <c r="BV307" s="12"/>
      <c r="BY307" s="12"/>
      <c r="BZ307" s="12"/>
      <c r="CC307" s="12"/>
      <c r="CD307" s="12"/>
      <c r="CG307" s="12"/>
      <c r="CH307" s="12"/>
      <c r="CJ307" s="12"/>
      <c r="CK307" s="12"/>
      <c r="CN307" s="12"/>
      <c r="CO307" s="12"/>
      <c r="CT307"/>
      <c r="CV307" s="12"/>
      <c r="CW307" s="12"/>
      <c r="CZ307" s="12"/>
      <c r="DA307" s="12"/>
      <c r="DC307" s="12"/>
      <c r="DD307" s="12"/>
      <c r="DF307" s="1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X307" s="9"/>
      <c r="EY307" s="9"/>
      <c r="EZ307" s="9"/>
      <c r="FA307" s="15"/>
      <c r="FB307" s="14"/>
      <c r="FC307" s="10"/>
      <c r="FD307" s="10"/>
      <c r="FE307" s="10"/>
      <c r="FF307" s="10"/>
      <c r="FG307" s="10"/>
      <c r="FH307" s="10"/>
    </row>
    <row r="308" spans="2:164" x14ac:dyDescent="0.25">
      <c r="B308"/>
      <c r="C308"/>
      <c r="D308"/>
      <c r="E308"/>
      <c r="F308" s="16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 s="16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 s="12"/>
      <c r="AK308" s="12"/>
      <c r="AL308" s="17"/>
      <c r="AN308" s="17"/>
      <c r="AP308" s="17"/>
      <c r="AQ308" s="12"/>
      <c r="AR308" s="12"/>
      <c r="AT308" s="17"/>
      <c r="AU308" s="12"/>
      <c r="AV308" s="12"/>
      <c r="AW308" s="17"/>
      <c r="AX308" s="12"/>
      <c r="AY308" s="12"/>
      <c r="BA308" s="12"/>
      <c r="BB308" s="12"/>
      <c r="BC308" s="17"/>
      <c r="BD308" s="12"/>
      <c r="BE308" s="12"/>
      <c r="BG308" s="12"/>
      <c r="BH308" s="12"/>
      <c r="BJ308" s="12"/>
      <c r="BK308" s="12"/>
      <c r="BM308" s="12"/>
      <c r="BN308" s="12"/>
      <c r="BO308" s="17"/>
      <c r="BQ308" s="12"/>
      <c r="BR308" s="12"/>
      <c r="BU308" s="12"/>
      <c r="BV308" s="12"/>
      <c r="BW308" s="17"/>
      <c r="BX308" s="17"/>
      <c r="BY308" s="12"/>
      <c r="BZ308" s="12"/>
      <c r="CC308" s="12"/>
      <c r="CD308" s="12"/>
      <c r="CG308" s="12"/>
      <c r="CH308" s="12"/>
      <c r="CI308" s="17"/>
      <c r="CJ308" s="12"/>
      <c r="CK308" s="12"/>
      <c r="CN308" s="12"/>
      <c r="CO308" s="12"/>
      <c r="CT308"/>
      <c r="CV308" s="12"/>
      <c r="CW308" s="12"/>
      <c r="CZ308" s="12"/>
      <c r="DA308" s="12"/>
      <c r="DB308" s="17"/>
      <c r="DC308" s="12"/>
      <c r="DD308" s="12"/>
      <c r="DE308" s="17"/>
      <c r="DF308" s="17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X308" s="9"/>
      <c r="EY308" s="9"/>
      <c r="EZ308" s="9"/>
      <c r="FA308" s="15"/>
      <c r="FB308" s="14"/>
      <c r="FC308" s="10"/>
      <c r="FD308" s="10"/>
      <c r="FE308" s="10"/>
      <c r="FF308" s="10"/>
      <c r="FG308" s="10"/>
      <c r="FH308" s="10"/>
    </row>
    <row r="309" spans="2:164" x14ac:dyDescent="0.25">
      <c r="B309"/>
      <c r="C309"/>
      <c r="D309"/>
      <c r="E309"/>
      <c r="F309" s="16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 s="16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 s="12"/>
      <c r="AK309" s="12"/>
      <c r="AL309" s="17"/>
      <c r="AN309" s="17"/>
      <c r="AP309" s="17"/>
      <c r="AQ309" s="12"/>
      <c r="AR309" s="12"/>
      <c r="AT309" s="17"/>
      <c r="AU309" s="12"/>
      <c r="AV309" s="12"/>
      <c r="AW309" s="17"/>
      <c r="AX309" s="12"/>
      <c r="AY309" s="12"/>
      <c r="AZ309" s="17"/>
      <c r="BA309" s="12"/>
      <c r="BB309" s="12"/>
      <c r="BD309" s="12"/>
      <c r="BE309" s="12"/>
      <c r="BG309" s="12"/>
      <c r="BH309" s="12"/>
      <c r="BJ309" s="12"/>
      <c r="BK309" s="12"/>
      <c r="BM309" s="12"/>
      <c r="BN309" s="12"/>
      <c r="BO309" s="17"/>
      <c r="BQ309" s="12"/>
      <c r="BR309" s="12"/>
      <c r="BU309" s="12"/>
      <c r="BV309" s="12"/>
      <c r="BW309" s="17"/>
      <c r="BX309" s="17"/>
      <c r="BY309" s="12"/>
      <c r="BZ309" s="12"/>
      <c r="CC309" s="12"/>
      <c r="CD309" s="12"/>
      <c r="CG309" s="12"/>
      <c r="CH309" s="12"/>
      <c r="CI309" s="17"/>
      <c r="CJ309" s="12"/>
      <c r="CK309" s="12"/>
      <c r="CN309" s="12"/>
      <c r="CO309" s="12"/>
      <c r="CT309"/>
      <c r="CV309" s="12"/>
      <c r="CW309" s="12"/>
      <c r="CZ309" s="12"/>
      <c r="DA309" s="12"/>
      <c r="DC309" s="12"/>
      <c r="DD309" s="12"/>
      <c r="DE309" s="17"/>
      <c r="DF309" s="17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X309" s="9"/>
      <c r="EY309" s="9"/>
      <c r="EZ309" s="9"/>
      <c r="FA309" s="15"/>
      <c r="FB309" s="14"/>
      <c r="FC309" s="10"/>
      <c r="FD309" s="10"/>
      <c r="FE309" s="10"/>
      <c r="FF309" s="10"/>
      <c r="FG309" s="10"/>
      <c r="FH309" s="10"/>
    </row>
    <row r="310" spans="2:164" x14ac:dyDescent="0.25">
      <c r="B310"/>
      <c r="C310"/>
      <c r="D310"/>
      <c r="E310"/>
      <c r="F310" s="16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 s="16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 s="12"/>
      <c r="AK310" s="12"/>
      <c r="AL310" s="17"/>
      <c r="AN310" s="17"/>
      <c r="AP310" s="17"/>
      <c r="AQ310" s="12"/>
      <c r="AR310" s="12"/>
      <c r="AT310" s="17"/>
      <c r="AU310" s="12"/>
      <c r="AV310" s="12"/>
      <c r="AW310" s="17"/>
      <c r="AX310" s="12"/>
      <c r="AY310" s="12"/>
      <c r="BA310" s="12"/>
      <c r="BB310" s="12"/>
      <c r="BC310" s="17"/>
      <c r="BD310" s="12"/>
      <c r="BE310" s="12"/>
      <c r="BG310" s="12"/>
      <c r="BH310" s="12"/>
      <c r="BJ310" s="12"/>
      <c r="BK310" s="12"/>
      <c r="BM310" s="12"/>
      <c r="BN310" s="12"/>
      <c r="BO310" s="17"/>
      <c r="BQ310" s="12"/>
      <c r="BR310" s="12"/>
      <c r="BU310" s="12"/>
      <c r="BV310" s="12"/>
      <c r="BY310" s="12"/>
      <c r="BZ310" s="12"/>
      <c r="CC310" s="12"/>
      <c r="CD310" s="12"/>
      <c r="CG310" s="12"/>
      <c r="CH310" s="12"/>
      <c r="CJ310" s="12"/>
      <c r="CK310" s="12"/>
      <c r="CN310" s="12"/>
      <c r="CO310" s="12"/>
      <c r="CT310"/>
      <c r="CV310" s="12"/>
      <c r="CW310" s="12"/>
      <c r="CZ310" s="12"/>
      <c r="DA310" s="12"/>
      <c r="DC310" s="12"/>
      <c r="DD310" s="12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X310" s="9"/>
      <c r="EY310" s="9"/>
      <c r="EZ310" s="9"/>
      <c r="FA310" s="15"/>
      <c r="FB310" s="14"/>
      <c r="FC310" s="10"/>
      <c r="FD310" s="10"/>
      <c r="FE310" s="10"/>
      <c r="FF310" s="10"/>
      <c r="FG310" s="10"/>
      <c r="FH310" s="10"/>
    </row>
    <row r="311" spans="2:164" x14ac:dyDescent="0.25">
      <c r="B311"/>
      <c r="C311"/>
      <c r="D311"/>
      <c r="E311"/>
      <c r="F311" s="16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 s="16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 s="12"/>
      <c r="AK311" s="12"/>
      <c r="AL311" s="17"/>
      <c r="AN311" s="17"/>
      <c r="AP311" s="17"/>
      <c r="AQ311" s="12"/>
      <c r="AR311" s="12"/>
      <c r="AT311" s="17"/>
      <c r="AU311" s="12"/>
      <c r="AV311" s="12"/>
      <c r="AW311" s="17"/>
      <c r="AX311" s="12"/>
      <c r="AY311" s="12"/>
      <c r="BA311" s="12"/>
      <c r="BB311" s="12"/>
      <c r="BD311" s="12"/>
      <c r="BE311" s="12"/>
      <c r="BG311" s="12"/>
      <c r="BH311" s="12"/>
      <c r="BJ311" s="12"/>
      <c r="BK311" s="12"/>
      <c r="BM311" s="12"/>
      <c r="BN311" s="12"/>
      <c r="BO311" s="17"/>
      <c r="BQ311" s="12"/>
      <c r="BR311" s="12"/>
      <c r="BU311" s="12"/>
      <c r="BV311" s="12"/>
      <c r="BY311" s="12"/>
      <c r="BZ311" s="12"/>
      <c r="CC311" s="12"/>
      <c r="CD311" s="12"/>
      <c r="CG311" s="12"/>
      <c r="CH311" s="12"/>
      <c r="CI311" s="17"/>
      <c r="CJ311" s="12"/>
      <c r="CK311" s="12"/>
      <c r="CN311" s="12"/>
      <c r="CO311" s="12"/>
      <c r="CT311"/>
      <c r="CV311" s="12"/>
      <c r="CW311" s="12"/>
      <c r="CZ311" s="12"/>
      <c r="DA311" s="12"/>
      <c r="DB311" s="17"/>
      <c r="DC311" s="12"/>
      <c r="DD311" s="12"/>
      <c r="DE311" s="17"/>
      <c r="DF311" s="17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X311" s="9"/>
      <c r="EY311" s="9"/>
      <c r="EZ311" s="9"/>
      <c r="FA311" s="15"/>
      <c r="FB311" s="14"/>
      <c r="FC311" s="10"/>
      <c r="FD311" s="10"/>
      <c r="FE311" s="10"/>
      <c r="FF311" s="10"/>
      <c r="FG311" s="10"/>
      <c r="FH311" s="10"/>
    </row>
    <row r="312" spans="2:164" x14ac:dyDescent="0.25">
      <c r="B312"/>
      <c r="C312"/>
      <c r="D312"/>
      <c r="E312"/>
      <c r="F312" s="16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 s="16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 s="12"/>
      <c r="AK312" s="12"/>
      <c r="AL312" s="17"/>
      <c r="AN312" s="17"/>
      <c r="AP312" s="17"/>
      <c r="AQ312" s="12"/>
      <c r="AR312" s="12"/>
      <c r="AT312" s="17"/>
      <c r="AU312" s="12"/>
      <c r="AV312" s="12"/>
      <c r="AW312" s="17"/>
      <c r="AX312" s="12"/>
      <c r="AY312" s="12"/>
      <c r="BA312" s="12"/>
      <c r="BB312" s="12"/>
      <c r="BD312" s="12"/>
      <c r="BE312" s="12"/>
      <c r="BG312" s="12"/>
      <c r="BH312" s="12"/>
      <c r="BJ312" s="12"/>
      <c r="BK312" s="12"/>
      <c r="BM312" s="12"/>
      <c r="BN312" s="12"/>
      <c r="BO312" s="17"/>
      <c r="BQ312" s="12"/>
      <c r="BR312" s="12"/>
      <c r="BU312" s="12"/>
      <c r="BV312" s="12"/>
      <c r="BY312" s="12"/>
      <c r="BZ312" s="12"/>
      <c r="CC312" s="12"/>
      <c r="CD312" s="12"/>
      <c r="CG312" s="12"/>
      <c r="CH312" s="12"/>
      <c r="CJ312" s="12"/>
      <c r="CK312" s="12"/>
      <c r="CN312" s="12"/>
      <c r="CO312" s="12"/>
      <c r="CT312"/>
      <c r="CV312" s="12"/>
      <c r="CW312" s="12"/>
      <c r="CZ312" s="12"/>
      <c r="DA312" s="12"/>
      <c r="DC312" s="12"/>
      <c r="DD312" s="12"/>
      <c r="DF312" s="17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X312" s="9"/>
      <c r="EY312" s="9"/>
      <c r="EZ312" s="9"/>
      <c r="FA312" s="15"/>
      <c r="FB312" s="14"/>
      <c r="FC312" s="10"/>
      <c r="FD312" s="10"/>
      <c r="FE312" s="10"/>
      <c r="FF312" s="10"/>
      <c r="FG312" s="10"/>
      <c r="FH312" s="10"/>
    </row>
    <row r="313" spans="2:164" x14ac:dyDescent="0.25">
      <c r="B313"/>
      <c r="C313"/>
      <c r="D313"/>
      <c r="E313"/>
      <c r="F313" s="16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 s="16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 s="12"/>
      <c r="AK313" s="12"/>
      <c r="AL313" s="17"/>
      <c r="AN313" s="17"/>
      <c r="AP313" s="17"/>
      <c r="AQ313" s="12"/>
      <c r="AR313" s="12"/>
      <c r="AT313" s="17"/>
      <c r="AU313" s="12"/>
      <c r="AV313" s="12"/>
      <c r="AW313" s="17"/>
      <c r="AX313" s="12"/>
      <c r="AY313" s="12"/>
      <c r="BA313" s="12"/>
      <c r="BB313" s="12"/>
      <c r="BD313" s="12"/>
      <c r="BE313" s="12"/>
      <c r="BG313" s="12"/>
      <c r="BH313" s="12"/>
      <c r="BJ313" s="12"/>
      <c r="BK313" s="12"/>
      <c r="BM313" s="12"/>
      <c r="BN313" s="12"/>
      <c r="BO313" s="17"/>
      <c r="BQ313" s="12"/>
      <c r="BR313" s="12"/>
      <c r="BU313" s="12"/>
      <c r="BV313" s="12"/>
      <c r="BY313" s="12"/>
      <c r="BZ313" s="12"/>
      <c r="CC313" s="12"/>
      <c r="CD313" s="12"/>
      <c r="CG313" s="12"/>
      <c r="CH313" s="12"/>
      <c r="CJ313" s="12"/>
      <c r="CK313" s="12"/>
      <c r="CN313" s="12"/>
      <c r="CO313" s="12"/>
      <c r="CT313"/>
      <c r="CV313" s="12"/>
      <c r="CW313" s="12"/>
      <c r="CZ313" s="12"/>
      <c r="DA313" s="12"/>
      <c r="DC313" s="12"/>
      <c r="DD313" s="12"/>
      <c r="DF313" s="17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X313" s="9"/>
      <c r="EY313" s="9"/>
      <c r="EZ313" s="9"/>
      <c r="FA313" s="15"/>
      <c r="FB313" s="14"/>
      <c r="FC313" s="10"/>
      <c r="FD313" s="10"/>
      <c r="FE313" s="10"/>
      <c r="FF313" s="10"/>
      <c r="FG313" s="10"/>
      <c r="FH313" s="10"/>
    </row>
    <row r="314" spans="2:164" x14ac:dyDescent="0.25">
      <c r="B314"/>
      <c r="C314"/>
      <c r="D314"/>
      <c r="E314"/>
      <c r="F314" s="16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 s="16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 s="12"/>
      <c r="AK314" s="12"/>
      <c r="AL314" s="17"/>
      <c r="AN314" s="17"/>
      <c r="AP314" s="17"/>
      <c r="AQ314" s="12"/>
      <c r="AR314" s="12"/>
      <c r="AT314" s="17"/>
      <c r="AU314" s="12"/>
      <c r="AV314" s="12"/>
      <c r="AW314" s="17"/>
      <c r="AX314" s="12"/>
      <c r="AY314" s="12"/>
      <c r="BA314" s="12"/>
      <c r="BB314" s="12"/>
      <c r="BC314" s="17"/>
      <c r="BD314" s="12"/>
      <c r="BE314" s="12"/>
      <c r="BG314" s="12"/>
      <c r="BH314" s="12"/>
      <c r="BJ314" s="12"/>
      <c r="BK314" s="12"/>
      <c r="BM314" s="12"/>
      <c r="BN314" s="12"/>
      <c r="BO314" s="17"/>
      <c r="BQ314" s="12"/>
      <c r="BR314" s="12"/>
      <c r="BU314" s="12"/>
      <c r="BV314" s="12"/>
      <c r="BW314" s="17"/>
      <c r="BX314" s="17"/>
      <c r="BY314" s="12"/>
      <c r="BZ314" s="12"/>
      <c r="CC314" s="12"/>
      <c r="CD314" s="12"/>
      <c r="CG314" s="12"/>
      <c r="CH314" s="12"/>
      <c r="CI314" s="17"/>
      <c r="CJ314" s="12"/>
      <c r="CK314" s="12"/>
      <c r="CN314" s="12"/>
      <c r="CO314" s="12"/>
      <c r="CT314"/>
      <c r="CV314" s="12"/>
      <c r="CW314" s="12"/>
      <c r="CZ314" s="12"/>
      <c r="DA314" s="12"/>
      <c r="DC314" s="12"/>
      <c r="DD314" s="12"/>
      <c r="DE314" s="17"/>
      <c r="DF314" s="17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X314" s="9"/>
      <c r="EY314" s="9"/>
      <c r="EZ314" s="9"/>
      <c r="FA314" s="15"/>
      <c r="FB314" s="14"/>
      <c r="FC314" s="10"/>
      <c r="FD314" s="10"/>
      <c r="FE314" s="10"/>
      <c r="FF314" s="10"/>
      <c r="FG314" s="10"/>
      <c r="FH314" s="10"/>
    </row>
    <row r="315" spans="2:164" x14ac:dyDescent="0.25">
      <c r="B315"/>
      <c r="C315"/>
      <c r="D315"/>
      <c r="E315"/>
      <c r="F315" s="16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 s="16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 s="12"/>
      <c r="AK315" s="12"/>
      <c r="AL315" s="17"/>
      <c r="AN315" s="17"/>
      <c r="AP315" s="17"/>
      <c r="AQ315" s="12"/>
      <c r="AR315" s="12"/>
      <c r="AT315" s="17"/>
      <c r="AU315" s="12"/>
      <c r="AV315" s="12"/>
      <c r="AW315" s="17"/>
      <c r="AX315" s="12"/>
      <c r="AY315" s="12"/>
      <c r="BA315" s="12"/>
      <c r="BB315" s="12"/>
      <c r="BC315" s="17"/>
      <c r="BD315" s="12"/>
      <c r="BE315" s="12"/>
      <c r="BG315" s="12"/>
      <c r="BH315" s="12"/>
      <c r="BJ315" s="12"/>
      <c r="BK315" s="12"/>
      <c r="BM315" s="12"/>
      <c r="BN315" s="12"/>
      <c r="BO315" s="17"/>
      <c r="BQ315" s="12"/>
      <c r="BR315" s="12"/>
      <c r="BU315" s="12"/>
      <c r="BV315" s="12"/>
      <c r="BY315" s="12"/>
      <c r="BZ315" s="12"/>
      <c r="CC315" s="12"/>
      <c r="CD315" s="12"/>
      <c r="CG315" s="12"/>
      <c r="CH315" s="12"/>
      <c r="CJ315" s="12"/>
      <c r="CK315" s="12"/>
      <c r="CN315" s="12"/>
      <c r="CO315" s="12"/>
      <c r="CT315"/>
      <c r="CV315" s="12"/>
      <c r="CW315" s="12"/>
      <c r="CZ315" s="12"/>
      <c r="DA315" s="12"/>
      <c r="DC315" s="12"/>
      <c r="DD315" s="12"/>
      <c r="DE315" s="17"/>
      <c r="DF315" s="17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X315" s="9"/>
      <c r="EY315" s="9"/>
      <c r="EZ315" s="9"/>
      <c r="FA315" s="15"/>
      <c r="FB315" s="14"/>
      <c r="FC315" s="10"/>
      <c r="FD315" s="10"/>
      <c r="FE315" s="10"/>
      <c r="FF315" s="10"/>
      <c r="FG315" s="10"/>
      <c r="FH315" s="10"/>
    </row>
    <row r="316" spans="2:164" x14ac:dyDescent="0.25">
      <c r="B316"/>
      <c r="C316"/>
      <c r="D316"/>
      <c r="E316"/>
      <c r="F316" s="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 s="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 s="12"/>
      <c r="AK316" s="12"/>
      <c r="AL316" s="17"/>
      <c r="AN316" s="17"/>
      <c r="AP316" s="17"/>
      <c r="AQ316" s="12"/>
      <c r="AR316" s="12"/>
      <c r="AT316" s="17"/>
      <c r="AU316" s="12"/>
      <c r="AV316" s="12"/>
      <c r="AW316" s="17"/>
      <c r="AX316" s="12"/>
      <c r="AY316" s="12"/>
      <c r="BA316" s="12"/>
      <c r="BB316" s="12"/>
      <c r="BC316" s="17"/>
      <c r="BD316" s="12"/>
      <c r="BE316" s="12"/>
      <c r="BG316" s="12"/>
      <c r="BH316" s="12"/>
      <c r="BJ316" s="12"/>
      <c r="BK316" s="12"/>
      <c r="BM316" s="12"/>
      <c r="BN316" s="12"/>
      <c r="BO316" s="17"/>
      <c r="BQ316" s="12"/>
      <c r="BR316" s="12"/>
      <c r="BU316" s="12"/>
      <c r="BV316" s="12"/>
      <c r="BY316" s="12"/>
      <c r="BZ316" s="12"/>
      <c r="CA316" s="17"/>
      <c r="CB316" s="17"/>
      <c r="CC316" s="12"/>
      <c r="CD316" s="12"/>
      <c r="CG316" s="12"/>
      <c r="CH316" s="12"/>
      <c r="CJ316" s="12"/>
      <c r="CK316" s="12"/>
      <c r="CN316" s="12"/>
      <c r="CO316" s="12"/>
      <c r="CT316"/>
      <c r="CV316" s="12"/>
      <c r="CW316" s="12"/>
      <c r="CZ316" s="12"/>
      <c r="DA316" s="12"/>
      <c r="DB316" s="17"/>
      <c r="DC316" s="12"/>
      <c r="DD316" s="12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X316" s="9"/>
      <c r="EY316" s="9"/>
      <c r="EZ316" s="9"/>
      <c r="FA316" s="15"/>
      <c r="FB316" s="14"/>
      <c r="FC316" s="10"/>
      <c r="FD316" s="10"/>
      <c r="FE316" s="10"/>
      <c r="FF316" s="10"/>
      <c r="FG316" s="10"/>
      <c r="FH316" s="10"/>
    </row>
    <row r="317" spans="2:164" x14ac:dyDescent="0.25">
      <c r="B317"/>
      <c r="C317"/>
      <c r="D317"/>
      <c r="E317"/>
      <c r="F317" s="16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 s="16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 s="12"/>
      <c r="AK317" s="12"/>
      <c r="AL317" s="17"/>
      <c r="AN317" s="17"/>
      <c r="AP317" s="17"/>
      <c r="AQ317" s="12"/>
      <c r="AR317" s="12"/>
      <c r="AT317" s="17"/>
      <c r="AU317" s="12"/>
      <c r="AV317" s="12"/>
      <c r="AW317" s="17"/>
      <c r="AX317" s="12"/>
      <c r="AY317" s="12"/>
      <c r="BA317" s="12"/>
      <c r="BB317" s="12"/>
      <c r="BC317" s="17"/>
      <c r="BD317" s="12"/>
      <c r="BE317" s="12"/>
      <c r="BG317" s="12"/>
      <c r="BH317" s="12"/>
      <c r="BJ317" s="12"/>
      <c r="BK317" s="12"/>
      <c r="BM317" s="12"/>
      <c r="BN317" s="12"/>
      <c r="BO317" s="17"/>
      <c r="BQ317" s="12"/>
      <c r="BR317" s="12"/>
      <c r="BU317" s="12"/>
      <c r="BV317" s="12"/>
      <c r="BW317" s="17"/>
      <c r="BX317" s="17"/>
      <c r="BY317" s="12"/>
      <c r="BZ317" s="12"/>
      <c r="CC317" s="12"/>
      <c r="CD317" s="12"/>
      <c r="CG317" s="12"/>
      <c r="CH317" s="12"/>
      <c r="CI317" s="17"/>
      <c r="CJ317" s="12"/>
      <c r="CK317" s="12"/>
      <c r="CN317" s="12"/>
      <c r="CO317" s="12"/>
      <c r="CT317"/>
      <c r="CV317" s="12"/>
      <c r="CW317" s="12"/>
      <c r="CZ317" s="12"/>
      <c r="DA317" s="12"/>
      <c r="DC317" s="12"/>
      <c r="DD317" s="12"/>
      <c r="DE317" s="17"/>
      <c r="DF317" s="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X317" s="9"/>
      <c r="EY317" s="9"/>
      <c r="EZ317" s="9"/>
      <c r="FA317" s="15"/>
      <c r="FB317" s="14"/>
      <c r="FC317" s="10"/>
      <c r="FD317" s="10"/>
      <c r="FE317" s="10"/>
      <c r="FF317" s="10"/>
      <c r="FG317" s="10"/>
      <c r="FH317" s="10"/>
    </row>
    <row r="318" spans="2:164" x14ac:dyDescent="0.25">
      <c r="B318"/>
      <c r="C318"/>
      <c r="D318"/>
      <c r="E318"/>
      <c r="F318" s="16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 s="16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 s="12"/>
      <c r="AK318" s="12"/>
      <c r="AL318" s="17"/>
      <c r="AN318" s="17"/>
      <c r="AP318" s="17"/>
      <c r="AQ318" s="12"/>
      <c r="AR318" s="12"/>
      <c r="AT318" s="17"/>
      <c r="AU318" s="12"/>
      <c r="AV318" s="12"/>
      <c r="AW318" s="17"/>
      <c r="AX318" s="12"/>
      <c r="AY318" s="12"/>
      <c r="AZ318" s="17"/>
      <c r="BA318" s="12"/>
      <c r="BB318" s="12"/>
      <c r="BD318" s="12"/>
      <c r="BE318" s="12"/>
      <c r="BG318" s="12"/>
      <c r="BH318" s="12"/>
      <c r="BJ318" s="12"/>
      <c r="BK318" s="12"/>
      <c r="BM318" s="12"/>
      <c r="BN318" s="12"/>
      <c r="BO318" s="17"/>
      <c r="BQ318" s="12"/>
      <c r="BR318" s="12"/>
      <c r="BU318" s="12"/>
      <c r="BV318" s="12"/>
      <c r="BW318" s="17"/>
      <c r="BX318" s="17"/>
      <c r="BY318" s="12"/>
      <c r="BZ318" s="12"/>
      <c r="CC318" s="12"/>
      <c r="CD318" s="12"/>
      <c r="CG318" s="12"/>
      <c r="CH318" s="12"/>
      <c r="CI318" s="17"/>
      <c r="CJ318" s="12"/>
      <c r="CK318" s="12"/>
      <c r="CN318" s="12"/>
      <c r="CO318" s="12"/>
      <c r="CT318"/>
      <c r="CV318" s="12"/>
      <c r="CW318" s="12"/>
      <c r="CZ318" s="12"/>
      <c r="DA318" s="12"/>
      <c r="DC318" s="12"/>
      <c r="DD318" s="12"/>
      <c r="DF318" s="17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X318" s="9"/>
      <c r="EY318" s="9"/>
      <c r="EZ318" s="9"/>
      <c r="FA318" s="15"/>
      <c r="FB318" s="14"/>
      <c r="FC318" s="10"/>
      <c r="FD318" s="10"/>
      <c r="FE318" s="10"/>
      <c r="FF318" s="10"/>
      <c r="FG318" s="10"/>
      <c r="FH318" s="10"/>
    </row>
    <row r="319" spans="2:164" x14ac:dyDescent="0.25">
      <c r="B319"/>
      <c r="C319"/>
      <c r="D319"/>
      <c r="E319"/>
      <c r="F319" s="16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 s="16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 s="12"/>
      <c r="AK319" s="12"/>
      <c r="AL319" s="17"/>
      <c r="AN319" s="17"/>
      <c r="AP319" s="17"/>
      <c r="AQ319" s="12"/>
      <c r="AR319" s="12"/>
      <c r="AT319" s="17"/>
      <c r="AU319" s="12"/>
      <c r="AV319" s="12"/>
      <c r="AW319" s="17"/>
      <c r="AX319" s="12"/>
      <c r="AY319" s="12"/>
      <c r="BA319" s="12"/>
      <c r="BB319" s="12"/>
      <c r="BC319" s="17"/>
      <c r="BD319" s="12"/>
      <c r="BE319" s="12"/>
      <c r="BG319" s="12"/>
      <c r="BH319" s="12"/>
      <c r="BJ319" s="12"/>
      <c r="BK319" s="12"/>
      <c r="BM319" s="12"/>
      <c r="BN319" s="12"/>
      <c r="BO319" s="17"/>
      <c r="BQ319" s="12"/>
      <c r="BR319" s="12"/>
      <c r="BU319" s="12"/>
      <c r="BV319" s="12"/>
      <c r="BW319" s="17"/>
      <c r="BX319" s="17"/>
      <c r="BY319" s="12"/>
      <c r="BZ319" s="12"/>
      <c r="CC319" s="12"/>
      <c r="CD319" s="12"/>
      <c r="CG319" s="12"/>
      <c r="CH319" s="12"/>
      <c r="CJ319" s="12"/>
      <c r="CK319" s="12"/>
      <c r="CL319" s="17"/>
      <c r="CM319" s="17"/>
      <c r="CN319" s="12"/>
      <c r="CO319" s="12"/>
      <c r="CT319"/>
      <c r="CV319" s="12"/>
      <c r="CW319" s="12"/>
      <c r="CZ319" s="12"/>
      <c r="DA319" s="12"/>
      <c r="DC319" s="12"/>
      <c r="DD319" s="12"/>
      <c r="DF319" s="17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X319" s="9"/>
      <c r="EY319" s="9"/>
      <c r="EZ319" s="9"/>
      <c r="FA319" s="15"/>
      <c r="FB319" s="14"/>
      <c r="FC319" s="10"/>
      <c r="FD319" s="10"/>
      <c r="FE319" s="10"/>
      <c r="FF319" s="10"/>
      <c r="FG319" s="10"/>
      <c r="FH319" s="10"/>
    </row>
    <row r="320" spans="2:164" x14ac:dyDescent="0.25">
      <c r="B320"/>
      <c r="C320"/>
      <c r="D320"/>
      <c r="E320"/>
      <c r="F320" s="16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 s="16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 s="12"/>
      <c r="AK320" s="12"/>
      <c r="AL320" s="17"/>
      <c r="AN320" s="17"/>
      <c r="AP320" s="17"/>
      <c r="AQ320" s="12"/>
      <c r="AR320" s="12"/>
      <c r="AT320" s="17"/>
      <c r="AU320" s="12"/>
      <c r="AV320" s="12"/>
      <c r="AW320" s="17"/>
      <c r="AX320" s="12"/>
      <c r="AY320" s="12"/>
      <c r="BA320" s="12"/>
      <c r="BB320" s="12"/>
      <c r="BC320" s="17"/>
      <c r="BD320" s="12"/>
      <c r="BE320" s="12"/>
      <c r="BG320" s="12"/>
      <c r="BH320" s="12"/>
      <c r="BJ320" s="12"/>
      <c r="BK320" s="12"/>
      <c r="BM320" s="12"/>
      <c r="BN320" s="12"/>
      <c r="BO320" s="17"/>
      <c r="BQ320" s="12"/>
      <c r="BR320" s="12"/>
      <c r="BU320" s="12"/>
      <c r="BV320" s="12"/>
      <c r="BY320" s="12"/>
      <c r="BZ320" s="12"/>
      <c r="CC320" s="12"/>
      <c r="CD320" s="12"/>
      <c r="CG320" s="12"/>
      <c r="CH320" s="12"/>
      <c r="CJ320" s="12"/>
      <c r="CK320" s="12"/>
      <c r="CN320" s="12"/>
      <c r="CO320" s="12"/>
      <c r="CT320"/>
      <c r="CV320" s="12"/>
      <c r="CW320" s="12"/>
      <c r="CZ320" s="12"/>
      <c r="DA320" s="12"/>
      <c r="DC320" s="12"/>
      <c r="DD320" s="12"/>
      <c r="DE320" s="17"/>
      <c r="DF320" s="17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X320" s="9"/>
      <c r="EY320" s="9"/>
      <c r="EZ320" s="9"/>
      <c r="FA320" s="15"/>
      <c r="FB320" s="14"/>
      <c r="FC320" s="10"/>
      <c r="FD320" s="10"/>
      <c r="FE320" s="10"/>
      <c r="FF320" s="10"/>
      <c r="FG320" s="10"/>
      <c r="FH320" s="10"/>
    </row>
    <row r="321" spans="2:164" x14ac:dyDescent="0.25">
      <c r="B321"/>
      <c r="C321"/>
      <c r="D321"/>
      <c r="E321"/>
      <c r="F321" s="16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 s="16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 s="12"/>
      <c r="AK321" s="12"/>
      <c r="AL321" s="17"/>
      <c r="AN321" s="17"/>
      <c r="AP321" s="17"/>
      <c r="AQ321" s="12"/>
      <c r="AR321" s="12"/>
      <c r="AT321" s="17"/>
      <c r="AU321" s="12"/>
      <c r="AV321" s="12"/>
      <c r="AW321" s="17"/>
      <c r="AX321" s="12"/>
      <c r="AY321" s="12"/>
      <c r="BA321" s="12"/>
      <c r="BB321" s="12"/>
      <c r="BD321" s="12"/>
      <c r="BE321" s="12"/>
      <c r="BG321" s="12"/>
      <c r="BH321" s="12"/>
      <c r="BJ321" s="12"/>
      <c r="BK321" s="12"/>
      <c r="BM321" s="12"/>
      <c r="BN321" s="12"/>
      <c r="BO321" s="17"/>
      <c r="BQ321" s="12"/>
      <c r="BR321" s="12"/>
      <c r="BU321" s="12"/>
      <c r="BV321" s="12"/>
      <c r="BY321" s="12"/>
      <c r="BZ321" s="12"/>
      <c r="CC321" s="12"/>
      <c r="CD321" s="12"/>
      <c r="CG321" s="12"/>
      <c r="CH321" s="12"/>
      <c r="CJ321" s="12"/>
      <c r="CK321" s="12"/>
      <c r="CN321" s="12"/>
      <c r="CO321" s="12"/>
      <c r="CT321"/>
      <c r="CV321" s="12"/>
      <c r="CW321" s="12"/>
      <c r="CZ321" s="12"/>
      <c r="DA321" s="12"/>
      <c r="DC321" s="12"/>
      <c r="DD321" s="12"/>
      <c r="DF321" s="17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X321" s="9"/>
      <c r="EY321" s="9"/>
      <c r="EZ321" s="9"/>
      <c r="FA321" s="15"/>
      <c r="FB321" s="14"/>
      <c r="FC321" s="10"/>
      <c r="FD321" s="10"/>
      <c r="FE321" s="10"/>
      <c r="FF321" s="10"/>
      <c r="FG321" s="10"/>
      <c r="FH321" s="10"/>
    </row>
    <row r="322" spans="2:164" x14ac:dyDescent="0.25">
      <c r="B322"/>
      <c r="C322"/>
      <c r="D322"/>
      <c r="E322"/>
      <c r="F322" s="16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 s="16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 s="12"/>
      <c r="AK322" s="12"/>
      <c r="AL322" s="17"/>
      <c r="AN322" s="17"/>
      <c r="AP322" s="17"/>
      <c r="AQ322" s="12"/>
      <c r="AR322" s="12"/>
      <c r="AT322" s="17"/>
      <c r="AU322" s="12"/>
      <c r="AV322" s="12"/>
      <c r="AW322" s="17"/>
      <c r="AX322" s="12"/>
      <c r="AY322" s="12"/>
      <c r="BA322" s="12"/>
      <c r="BB322" s="12"/>
      <c r="BD322" s="12"/>
      <c r="BE322" s="12"/>
      <c r="BG322" s="12"/>
      <c r="BH322" s="12"/>
      <c r="BJ322" s="12"/>
      <c r="BK322" s="12"/>
      <c r="BM322" s="12"/>
      <c r="BN322" s="12"/>
      <c r="BO322" s="17"/>
      <c r="BQ322" s="12"/>
      <c r="BR322" s="12"/>
      <c r="BU322" s="12"/>
      <c r="BV322" s="12"/>
      <c r="BY322" s="12"/>
      <c r="BZ322" s="12"/>
      <c r="CA322" s="17"/>
      <c r="CB322" s="17"/>
      <c r="CC322" s="12"/>
      <c r="CD322" s="12"/>
      <c r="CG322" s="12"/>
      <c r="CH322" s="12"/>
      <c r="CJ322" s="12"/>
      <c r="CK322" s="12"/>
      <c r="CN322" s="12"/>
      <c r="CO322" s="12"/>
      <c r="CT322"/>
      <c r="CV322" s="12"/>
      <c r="CW322" s="12"/>
      <c r="CZ322" s="12"/>
      <c r="DA322" s="12"/>
      <c r="DC322" s="12"/>
      <c r="DD322" s="12"/>
      <c r="DE322" s="17"/>
      <c r="DF322" s="17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X322" s="9"/>
      <c r="EY322" s="9"/>
      <c r="EZ322" s="9"/>
      <c r="FA322" s="15"/>
      <c r="FB322" s="14"/>
      <c r="FC322" s="10"/>
      <c r="FD322" s="10"/>
      <c r="FE322" s="10"/>
      <c r="FF322" s="10"/>
      <c r="FG322" s="10"/>
      <c r="FH322" s="10"/>
    </row>
    <row r="323" spans="2:164" x14ac:dyDescent="0.25">
      <c r="B323"/>
      <c r="C323"/>
      <c r="D323"/>
      <c r="E323"/>
      <c r="F323" s="16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 s="16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 s="12"/>
      <c r="AK323" s="12"/>
      <c r="AL323" s="17"/>
      <c r="AN323" s="17"/>
      <c r="AP323" s="17"/>
      <c r="AQ323" s="12"/>
      <c r="AR323" s="12"/>
      <c r="AT323" s="17"/>
      <c r="AU323" s="12"/>
      <c r="AV323" s="12"/>
      <c r="AW323" s="17"/>
      <c r="AX323" s="12"/>
      <c r="AY323" s="12"/>
      <c r="BA323" s="12"/>
      <c r="BB323" s="12"/>
      <c r="BC323" s="17"/>
      <c r="BD323" s="12"/>
      <c r="BE323" s="12"/>
      <c r="BG323" s="12"/>
      <c r="BH323" s="12"/>
      <c r="BJ323" s="12"/>
      <c r="BK323" s="12"/>
      <c r="BM323" s="12"/>
      <c r="BN323" s="12"/>
      <c r="BO323" s="17"/>
      <c r="BQ323" s="12"/>
      <c r="BR323" s="12"/>
      <c r="BU323" s="12"/>
      <c r="BV323" s="12"/>
      <c r="BY323" s="12"/>
      <c r="BZ323" s="12"/>
      <c r="CC323" s="12"/>
      <c r="CD323" s="12"/>
      <c r="CG323" s="12"/>
      <c r="CH323" s="12"/>
      <c r="CJ323" s="12"/>
      <c r="CK323" s="12"/>
      <c r="CN323" s="12"/>
      <c r="CO323" s="12"/>
      <c r="CT323"/>
      <c r="CV323" s="12"/>
      <c r="CW323" s="12"/>
      <c r="CZ323" s="12"/>
      <c r="DA323" s="12"/>
      <c r="DC323" s="12"/>
      <c r="DD323" s="12"/>
      <c r="DE323" s="17"/>
      <c r="DF323" s="17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X323" s="9"/>
      <c r="EY323" s="9"/>
      <c r="EZ323" s="9"/>
      <c r="FA323" s="15"/>
      <c r="FB323" s="14"/>
      <c r="FC323" s="10"/>
      <c r="FD323" s="10"/>
      <c r="FE323" s="10"/>
      <c r="FF323" s="10"/>
      <c r="FG323" s="10"/>
      <c r="FH323" s="10"/>
    </row>
    <row r="324" spans="2:164" x14ac:dyDescent="0.25">
      <c r="B324"/>
      <c r="C324"/>
      <c r="D324"/>
      <c r="E324"/>
      <c r="F324" s="16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 s="16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 s="12"/>
      <c r="AK324" s="12"/>
      <c r="AL324" s="17"/>
      <c r="AN324" s="17"/>
      <c r="AP324" s="17"/>
      <c r="AQ324" s="12"/>
      <c r="AR324" s="12"/>
      <c r="AT324" s="17"/>
      <c r="AU324" s="12"/>
      <c r="AV324" s="12"/>
      <c r="AW324" s="17"/>
      <c r="AX324" s="12"/>
      <c r="AY324" s="12"/>
      <c r="BA324" s="12"/>
      <c r="BB324" s="12"/>
      <c r="BC324" s="17"/>
      <c r="BD324" s="12"/>
      <c r="BE324" s="12"/>
      <c r="BG324" s="12"/>
      <c r="BH324" s="12"/>
      <c r="BJ324" s="12"/>
      <c r="BK324" s="12"/>
      <c r="BM324" s="12"/>
      <c r="BN324" s="12"/>
      <c r="BO324" s="17"/>
      <c r="BQ324" s="12"/>
      <c r="BR324" s="12"/>
      <c r="BS324" s="17"/>
      <c r="BT324" s="17"/>
      <c r="BU324" s="12"/>
      <c r="BV324" s="12"/>
      <c r="BY324" s="12"/>
      <c r="BZ324" s="12"/>
      <c r="CC324" s="12"/>
      <c r="CD324" s="12"/>
      <c r="CG324" s="12"/>
      <c r="CH324" s="12"/>
      <c r="CI324" s="17"/>
      <c r="CJ324" s="12"/>
      <c r="CK324" s="12"/>
      <c r="CN324" s="12"/>
      <c r="CO324" s="12"/>
      <c r="CT324"/>
      <c r="CV324" s="12"/>
      <c r="CW324" s="12"/>
      <c r="CZ324" s="12"/>
      <c r="DA324" s="12"/>
      <c r="DC324" s="12"/>
      <c r="DD324" s="12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X324" s="9"/>
      <c r="EY324" s="9"/>
      <c r="EZ324" s="9"/>
      <c r="FA324" s="15"/>
      <c r="FB324" s="14"/>
      <c r="FC324" s="10"/>
      <c r="FD324" s="10"/>
      <c r="FE324" s="10"/>
      <c r="FF324" s="10"/>
      <c r="FG324" s="10"/>
      <c r="FH324" s="10"/>
    </row>
    <row r="325" spans="2:164" x14ac:dyDescent="0.25">
      <c r="B325"/>
      <c r="C325"/>
      <c r="D325"/>
      <c r="E325"/>
      <c r="F325" s="16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 s="16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 s="12"/>
      <c r="AK325" s="12"/>
      <c r="AL325" s="17"/>
      <c r="AN325" s="17"/>
      <c r="AP325" s="17"/>
      <c r="AQ325" s="12"/>
      <c r="AR325" s="12"/>
      <c r="AT325" s="17"/>
      <c r="AU325" s="12"/>
      <c r="AV325" s="12"/>
      <c r="AW325" s="17"/>
      <c r="AX325" s="12"/>
      <c r="AY325" s="12"/>
      <c r="BA325" s="12"/>
      <c r="BB325" s="12"/>
      <c r="BC325" s="17"/>
      <c r="BD325" s="12"/>
      <c r="BE325" s="12"/>
      <c r="BG325" s="12"/>
      <c r="BH325" s="12"/>
      <c r="BJ325" s="12"/>
      <c r="BK325" s="12"/>
      <c r="BM325" s="12"/>
      <c r="BN325" s="12"/>
      <c r="BO325" s="17"/>
      <c r="BQ325" s="12"/>
      <c r="BR325" s="12"/>
      <c r="BU325" s="12"/>
      <c r="BV325" s="12"/>
      <c r="BW325" s="17"/>
      <c r="BX325" s="17"/>
      <c r="BY325" s="12"/>
      <c r="BZ325" s="12"/>
      <c r="CC325" s="12"/>
      <c r="CD325" s="12"/>
      <c r="CG325" s="12"/>
      <c r="CH325" s="12"/>
      <c r="CI325" s="17"/>
      <c r="CJ325" s="12"/>
      <c r="CK325" s="12"/>
      <c r="CN325" s="12"/>
      <c r="CO325" s="12"/>
      <c r="CT325"/>
      <c r="CV325" s="12"/>
      <c r="CW325" s="12"/>
      <c r="CZ325" s="12"/>
      <c r="DA325" s="12"/>
      <c r="DB325" s="17"/>
      <c r="DC325" s="12"/>
      <c r="DD325" s="12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X325" s="9"/>
      <c r="EY325" s="9"/>
      <c r="EZ325" s="9"/>
      <c r="FA325" s="15"/>
      <c r="FB325" s="14"/>
      <c r="FC325" s="10"/>
      <c r="FD325" s="10"/>
      <c r="FE325" s="10"/>
      <c r="FF325" s="10"/>
      <c r="FG325" s="10"/>
      <c r="FH325" s="10"/>
    </row>
    <row r="326" spans="2:164" x14ac:dyDescent="0.25">
      <c r="B326"/>
      <c r="C326"/>
      <c r="D326"/>
      <c r="E326"/>
      <c r="F326" s="1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 s="1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 s="12"/>
      <c r="AK326" s="12"/>
      <c r="AL326" s="17"/>
      <c r="AN326" s="17"/>
      <c r="AP326" s="17"/>
      <c r="AQ326" s="12"/>
      <c r="AR326" s="12"/>
      <c r="AT326" s="17"/>
      <c r="AU326" s="12"/>
      <c r="AV326" s="12"/>
      <c r="AW326" s="17"/>
      <c r="AX326" s="12"/>
      <c r="AY326" s="12"/>
      <c r="BA326" s="12"/>
      <c r="BB326" s="12"/>
      <c r="BD326" s="12"/>
      <c r="BE326" s="12"/>
      <c r="BG326" s="12"/>
      <c r="BH326" s="12"/>
      <c r="BI326" s="17"/>
      <c r="BJ326" s="12"/>
      <c r="BK326" s="12"/>
      <c r="BM326" s="12"/>
      <c r="BN326" s="12"/>
      <c r="BO326" s="17"/>
      <c r="BQ326" s="12"/>
      <c r="BR326" s="12"/>
      <c r="BU326" s="12"/>
      <c r="BV326" s="12"/>
      <c r="BY326" s="12"/>
      <c r="BZ326" s="12"/>
      <c r="CC326" s="12"/>
      <c r="CD326" s="12"/>
      <c r="CG326" s="12"/>
      <c r="CH326" s="12"/>
      <c r="CJ326" s="12"/>
      <c r="CK326" s="12"/>
      <c r="CN326" s="12"/>
      <c r="CO326" s="12"/>
      <c r="CT326"/>
      <c r="CV326" s="12"/>
      <c r="CW326" s="12"/>
      <c r="CZ326" s="12"/>
      <c r="DA326" s="12"/>
      <c r="DC326" s="12"/>
      <c r="DD326" s="12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X326" s="9"/>
      <c r="EY326" s="9"/>
      <c r="EZ326" s="9"/>
      <c r="FA326" s="15"/>
      <c r="FB326" s="14"/>
      <c r="FC326" s="10"/>
      <c r="FD326" s="10"/>
      <c r="FE326" s="10"/>
      <c r="FF326" s="10"/>
      <c r="FG326" s="10"/>
      <c r="FH326" s="10"/>
    </row>
    <row r="327" spans="2:164" x14ac:dyDescent="0.25">
      <c r="B327"/>
      <c r="C327"/>
      <c r="D327"/>
      <c r="E327"/>
      <c r="F327" s="16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 s="16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 s="12"/>
      <c r="AK327" s="12"/>
      <c r="AL327" s="17"/>
      <c r="AN327" s="17"/>
      <c r="AP327" s="17"/>
      <c r="AQ327" s="12"/>
      <c r="AR327" s="12"/>
      <c r="AT327" s="17"/>
      <c r="AU327" s="12"/>
      <c r="AV327" s="12"/>
      <c r="AW327" s="17"/>
      <c r="AX327" s="12"/>
      <c r="AY327" s="12"/>
      <c r="BA327" s="12"/>
      <c r="BB327" s="12"/>
      <c r="BC327" s="17"/>
      <c r="BD327" s="12"/>
      <c r="BE327" s="12"/>
      <c r="BG327" s="12"/>
      <c r="BH327" s="12"/>
      <c r="BJ327" s="12"/>
      <c r="BK327" s="12"/>
      <c r="BM327" s="12"/>
      <c r="BN327" s="12"/>
      <c r="BO327" s="17"/>
      <c r="BQ327" s="12"/>
      <c r="BR327" s="12"/>
      <c r="BU327" s="12"/>
      <c r="BV327" s="12"/>
      <c r="BW327" s="17"/>
      <c r="BX327" s="17"/>
      <c r="BY327" s="12"/>
      <c r="BZ327" s="12"/>
      <c r="CC327" s="12"/>
      <c r="CD327" s="12"/>
      <c r="CG327" s="12"/>
      <c r="CH327" s="12"/>
      <c r="CI327" s="17"/>
      <c r="CJ327" s="12"/>
      <c r="CK327" s="12"/>
      <c r="CN327" s="12"/>
      <c r="CO327" s="12"/>
      <c r="CT327"/>
      <c r="CV327" s="12"/>
      <c r="CW327" s="12"/>
      <c r="CZ327" s="12"/>
      <c r="DA327" s="12"/>
      <c r="DB327" s="17"/>
      <c r="DC327" s="12"/>
      <c r="DD327" s="12"/>
      <c r="DE327" s="17"/>
      <c r="DF327" s="1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X327" s="9"/>
      <c r="EY327" s="9"/>
      <c r="EZ327" s="9"/>
      <c r="FA327" s="15"/>
      <c r="FB327" s="14"/>
      <c r="FC327" s="10"/>
      <c r="FD327" s="10"/>
      <c r="FE327" s="10"/>
      <c r="FF327" s="10"/>
      <c r="FG327" s="10"/>
      <c r="FH327" s="10"/>
    </row>
    <row r="328" spans="2:164" x14ac:dyDescent="0.25">
      <c r="B328"/>
      <c r="C328"/>
      <c r="D328"/>
      <c r="E328"/>
      <c r="F328" s="16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 s="16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 s="12"/>
      <c r="AK328" s="12"/>
      <c r="AL328" s="17"/>
      <c r="AN328" s="17"/>
      <c r="AP328" s="17"/>
      <c r="AQ328" s="12"/>
      <c r="AR328" s="12"/>
      <c r="AT328" s="17"/>
      <c r="AU328" s="12"/>
      <c r="AV328" s="12"/>
      <c r="AW328" s="17"/>
      <c r="AX328" s="12"/>
      <c r="AY328" s="12"/>
      <c r="AZ328" s="17"/>
      <c r="BA328" s="12"/>
      <c r="BB328" s="12"/>
      <c r="BD328" s="12"/>
      <c r="BE328" s="12"/>
      <c r="BG328" s="12"/>
      <c r="BH328" s="12"/>
      <c r="BJ328" s="12"/>
      <c r="BK328" s="12"/>
      <c r="BM328" s="12"/>
      <c r="BN328" s="12"/>
      <c r="BO328" s="17"/>
      <c r="BQ328" s="12"/>
      <c r="BR328" s="12"/>
      <c r="BS328" s="17"/>
      <c r="BT328" s="17"/>
      <c r="BU328" s="12"/>
      <c r="BV328" s="12"/>
      <c r="BY328" s="12"/>
      <c r="BZ328" s="12"/>
      <c r="CC328" s="12"/>
      <c r="CD328" s="12"/>
      <c r="CG328" s="12"/>
      <c r="CH328" s="12"/>
      <c r="CI328" s="17"/>
      <c r="CJ328" s="12"/>
      <c r="CK328" s="12"/>
      <c r="CN328" s="12"/>
      <c r="CO328" s="12"/>
      <c r="CT328"/>
      <c r="CV328" s="12"/>
      <c r="CW328" s="12"/>
      <c r="CZ328" s="12"/>
      <c r="DA328" s="12"/>
      <c r="DC328" s="12"/>
      <c r="DD328" s="12"/>
      <c r="DE328" s="17"/>
      <c r="DF328" s="17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X328" s="9"/>
      <c r="EY328" s="9"/>
      <c r="EZ328" s="9"/>
      <c r="FA328" s="15"/>
      <c r="FB328" s="14"/>
      <c r="FC328" s="10"/>
      <c r="FD328" s="10"/>
      <c r="FE328" s="10"/>
      <c r="FF328" s="10"/>
      <c r="FG328" s="10"/>
      <c r="FH328" s="10"/>
    </row>
    <row r="329" spans="2:164" x14ac:dyDescent="0.25">
      <c r="B329"/>
      <c r="C329"/>
      <c r="D329"/>
      <c r="E329"/>
      <c r="F329" s="16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 s="16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 s="12"/>
      <c r="AK329" s="12"/>
      <c r="AL329" s="17"/>
      <c r="AN329" s="17"/>
      <c r="AP329" s="17"/>
      <c r="AQ329" s="12"/>
      <c r="AR329" s="12"/>
      <c r="AT329" s="17"/>
      <c r="AU329" s="12"/>
      <c r="AV329" s="12"/>
      <c r="AW329" s="17"/>
      <c r="AX329" s="12"/>
      <c r="AY329" s="12"/>
      <c r="BA329" s="12"/>
      <c r="BB329" s="12"/>
      <c r="BC329" s="17"/>
      <c r="BD329" s="12"/>
      <c r="BE329" s="12"/>
      <c r="BG329" s="12"/>
      <c r="BH329" s="12"/>
      <c r="BJ329" s="12"/>
      <c r="BK329" s="12"/>
      <c r="BM329" s="12"/>
      <c r="BN329" s="12"/>
      <c r="BO329" s="17"/>
      <c r="BQ329" s="12"/>
      <c r="BR329" s="12"/>
      <c r="BU329" s="12"/>
      <c r="BV329" s="12"/>
      <c r="BY329" s="12"/>
      <c r="BZ329" s="12"/>
      <c r="CC329" s="12"/>
      <c r="CD329" s="12"/>
      <c r="CG329" s="12"/>
      <c r="CH329" s="12"/>
      <c r="CJ329" s="12"/>
      <c r="CK329" s="12"/>
      <c r="CN329" s="12"/>
      <c r="CO329" s="12"/>
      <c r="CT329"/>
      <c r="CV329" s="12"/>
      <c r="CW329" s="12"/>
      <c r="CZ329" s="12"/>
      <c r="DA329" s="12"/>
      <c r="DC329" s="12"/>
      <c r="DD329" s="12"/>
      <c r="DE329" s="17"/>
      <c r="DF329" s="17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X329" s="9"/>
      <c r="EY329" s="9"/>
      <c r="EZ329" s="9"/>
      <c r="FA329" s="15"/>
      <c r="FB329" s="14"/>
      <c r="FC329" s="10"/>
      <c r="FD329" s="10"/>
      <c r="FE329" s="10"/>
      <c r="FF329" s="10"/>
      <c r="FG329" s="10"/>
      <c r="FH329" s="10"/>
    </row>
    <row r="330" spans="2:164" x14ac:dyDescent="0.25">
      <c r="B330"/>
      <c r="C330"/>
      <c r="D330"/>
      <c r="E330"/>
      <c r="F330" s="16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 s="16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 s="12"/>
      <c r="AK330" s="12"/>
      <c r="AL330" s="17"/>
      <c r="AN330" s="17"/>
      <c r="AP330" s="17"/>
      <c r="AQ330" s="12"/>
      <c r="AR330" s="12"/>
      <c r="AT330" s="17"/>
      <c r="AU330" s="12"/>
      <c r="AV330" s="12"/>
      <c r="AW330" s="17"/>
      <c r="AX330" s="12"/>
      <c r="AY330" s="12"/>
      <c r="BA330" s="12"/>
      <c r="BB330" s="12"/>
      <c r="BC330" s="17"/>
      <c r="BD330" s="12"/>
      <c r="BE330" s="12"/>
      <c r="BG330" s="12"/>
      <c r="BH330" s="12"/>
      <c r="BJ330" s="12"/>
      <c r="BK330" s="12"/>
      <c r="BM330" s="12"/>
      <c r="BN330" s="12"/>
      <c r="BO330" s="17"/>
      <c r="BQ330" s="12"/>
      <c r="BR330" s="12"/>
      <c r="BU330" s="12"/>
      <c r="BV330" s="12"/>
      <c r="BY330" s="12"/>
      <c r="BZ330" s="12"/>
      <c r="CC330" s="12"/>
      <c r="CD330" s="12"/>
      <c r="CG330" s="12"/>
      <c r="CH330" s="12"/>
      <c r="CJ330" s="12"/>
      <c r="CK330" s="12"/>
      <c r="CN330" s="12"/>
      <c r="CO330" s="12"/>
      <c r="CT330"/>
      <c r="CV330" s="12"/>
      <c r="CW330" s="12"/>
      <c r="CZ330" s="12"/>
      <c r="DA330" s="12"/>
      <c r="DC330" s="12"/>
      <c r="DD330" s="12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X330" s="9"/>
      <c r="EY330" s="9"/>
      <c r="EZ330" s="9"/>
      <c r="FA330" s="15"/>
      <c r="FB330" s="14"/>
      <c r="FC330" s="10"/>
      <c r="FD330" s="10"/>
      <c r="FE330" s="10"/>
      <c r="FF330" s="10"/>
      <c r="FG330" s="10"/>
      <c r="FH330" s="10"/>
    </row>
    <row r="331" spans="2:164" x14ac:dyDescent="0.25">
      <c r="B331"/>
      <c r="C331"/>
      <c r="D331"/>
      <c r="E331"/>
      <c r="F331" s="16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 s="16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 s="12"/>
      <c r="AK331" s="12"/>
      <c r="AL331" s="17"/>
      <c r="AN331" s="17"/>
      <c r="AP331" s="17"/>
      <c r="AQ331" s="12"/>
      <c r="AR331" s="12"/>
      <c r="AT331" s="17"/>
      <c r="AU331" s="12"/>
      <c r="AV331" s="12"/>
      <c r="AW331" s="17"/>
      <c r="AX331" s="12"/>
      <c r="AY331" s="12"/>
      <c r="BA331" s="12"/>
      <c r="BB331" s="12"/>
      <c r="BD331" s="12"/>
      <c r="BE331" s="12"/>
      <c r="BG331" s="12"/>
      <c r="BH331" s="12"/>
      <c r="BJ331" s="12"/>
      <c r="BK331" s="12"/>
      <c r="BM331" s="12"/>
      <c r="BN331" s="12"/>
      <c r="BO331" s="17"/>
      <c r="BQ331" s="12"/>
      <c r="BR331" s="12"/>
      <c r="BU331" s="12"/>
      <c r="BV331" s="12"/>
      <c r="BY331" s="12"/>
      <c r="BZ331" s="12"/>
      <c r="CC331" s="12"/>
      <c r="CD331" s="12"/>
      <c r="CG331" s="12"/>
      <c r="CH331" s="12"/>
      <c r="CJ331" s="12"/>
      <c r="CK331" s="12"/>
      <c r="CN331" s="12"/>
      <c r="CO331" s="12"/>
      <c r="CT331"/>
      <c r="CV331" s="12"/>
      <c r="CW331" s="12"/>
      <c r="CZ331" s="12"/>
      <c r="DA331" s="12"/>
      <c r="DC331" s="12"/>
      <c r="DD331" s="12"/>
      <c r="DE331" s="17"/>
      <c r="DF331" s="17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X331" s="9"/>
      <c r="EY331" s="9"/>
      <c r="EZ331" s="9"/>
      <c r="FA331" s="15"/>
      <c r="FB331" s="14"/>
      <c r="FC331" s="10"/>
      <c r="FD331" s="10"/>
      <c r="FE331" s="10"/>
      <c r="FF331" s="10"/>
      <c r="FG331" s="10"/>
      <c r="FH331" s="10"/>
    </row>
    <row r="332" spans="2:164" x14ac:dyDescent="0.25">
      <c r="B332"/>
      <c r="C332"/>
      <c r="D332"/>
      <c r="E332"/>
      <c r="F332" s="16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 s="16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 s="12"/>
      <c r="AK332" s="12"/>
      <c r="AL332" s="17"/>
      <c r="AN332" s="17"/>
      <c r="AP332" s="17"/>
      <c r="AQ332" s="12"/>
      <c r="AR332" s="12"/>
      <c r="AT332" s="17"/>
      <c r="AU332" s="12"/>
      <c r="AV332" s="12"/>
      <c r="AW332" s="17"/>
      <c r="AX332" s="12"/>
      <c r="AY332" s="12"/>
      <c r="BA332" s="12"/>
      <c r="BB332" s="12"/>
      <c r="BC332" s="17"/>
      <c r="BD332" s="12"/>
      <c r="BE332" s="12"/>
      <c r="BG332" s="12"/>
      <c r="BH332" s="12"/>
      <c r="BJ332" s="12"/>
      <c r="BK332" s="12"/>
      <c r="BM332" s="12"/>
      <c r="BN332" s="12"/>
      <c r="BO332" s="17"/>
      <c r="BQ332" s="12"/>
      <c r="BR332" s="12"/>
      <c r="BU332" s="12"/>
      <c r="BV332" s="12"/>
      <c r="BW332" s="17"/>
      <c r="BX332" s="17"/>
      <c r="BY332" s="12"/>
      <c r="BZ332" s="12"/>
      <c r="CC332" s="12"/>
      <c r="CD332" s="12"/>
      <c r="CG332" s="12"/>
      <c r="CH332" s="12"/>
      <c r="CI332" s="17"/>
      <c r="CJ332" s="12"/>
      <c r="CK332" s="12"/>
      <c r="CN332" s="12"/>
      <c r="CO332" s="12"/>
      <c r="CT332"/>
      <c r="CV332" s="12"/>
      <c r="CW332" s="12"/>
      <c r="CZ332" s="12"/>
      <c r="DA332" s="12"/>
      <c r="DC332" s="12"/>
      <c r="DD332" s="12"/>
      <c r="DE332" s="17"/>
      <c r="DF332" s="17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X332" s="9"/>
      <c r="EY332" s="9"/>
      <c r="EZ332" s="9"/>
      <c r="FA332" s="15"/>
      <c r="FB332" s="14"/>
      <c r="FC332" s="10"/>
      <c r="FD332" s="10"/>
      <c r="FE332" s="10"/>
      <c r="FF332" s="10"/>
      <c r="FG332" s="10"/>
      <c r="FH332" s="10"/>
    </row>
    <row r="333" spans="2:164" x14ac:dyDescent="0.25">
      <c r="B333"/>
      <c r="C333"/>
      <c r="D333"/>
      <c r="E333"/>
      <c r="F333" s="16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 s="16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 s="12"/>
      <c r="AK333" s="12"/>
      <c r="AL333" s="17"/>
      <c r="AN333" s="17"/>
      <c r="AP333" s="17"/>
      <c r="AQ333" s="12"/>
      <c r="AR333" s="12"/>
      <c r="AT333" s="17"/>
      <c r="AU333" s="12"/>
      <c r="AV333" s="12"/>
      <c r="AW333" s="17"/>
      <c r="AX333" s="12"/>
      <c r="AY333" s="12"/>
      <c r="BA333" s="12"/>
      <c r="BB333" s="12"/>
      <c r="BC333" s="17"/>
      <c r="BD333" s="12"/>
      <c r="BE333" s="12"/>
      <c r="BG333" s="12"/>
      <c r="BH333" s="12"/>
      <c r="BJ333" s="12"/>
      <c r="BK333" s="12"/>
      <c r="BM333" s="12"/>
      <c r="BN333" s="12"/>
      <c r="BO333" s="17"/>
      <c r="BQ333" s="12"/>
      <c r="BR333" s="12"/>
      <c r="BU333" s="12"/>
      <c r="BV333" s="12"/>
      <c r="BW333" s="17"/>
      <c r="BX333" s="17"/>
      <c r="BY333" s="12"/>
      <c r="BZ333" s="12"/>
      <c r="CC333" s="12"/>
      <c r="CD333" s="12"/>
      <c r="CG333" s="12"/>
      <c r="CH333" s="12"/>
      <c r="CI333" s="17"/>
      <c r="CJ333" s="12"/>
      <c r="CK333" s="12"/>
      <c r="CN333" s="12"/>
      <c r="CO333" s="12"/>
      <c r="CT333"/>
      <c r="CV333" s="12"/>
      <c r="CW333" s="12"/>
      <c r="CZ333" s="12"/>
      <c r="DA333" s="12"/>
      <c r="DC333" s="12"/>
      <c r="DD333" s="12"/>
      <c r="DE333" s="17"/>
      <c r="DF333" s="17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X333" s="9"/>
      <c r="EY333" s="9"/>
      <c r="EZ333" s="9"/>
      <c r="FA333" s="15"/>
      <c r="FB333" s="14"/>
      <c r="FC333" s="10"/>
      <c r="FD333" s="10"/>
      <c r="FE333" s="10"/>
      <c r="FF333" s="10"/>
      <c r="FG333" s="10"/>
      <c r="FH333" s="10"/>
    </row>
    <row r="334" spans="2:164" x14ac:dyDescent="0.25">
      <c r="B334"/>
      <c r="C334"/>
      <c r="D334"/>
      <c r="E334"/>
      <c r="F334" s="16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 s="16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 s="12"/>
      <c r="AK334" s="12"/>
      <c r="AL334" s="17"/>
      <c r="AN334" s="17"/>
      <c r="AP334" s="17"/>
      <c r="AQ334" s="12"/>
      <c r="AR334" s="12"/>
      <c r="AT334" s="17"/>
      <c r="AU334" s="12"/>
      <c r="AV334" s="12"/>
      <c r="AW334" s="17"/>
      <c r="AX334" s="12"/>
      <c r="AY334" s="12"/>
      <c r="BA334" s="12"/>
      <c r="BB334" s="12"/>
      <c r="BC334" s="17"/>
      <c r="BD334" s="12"/>
      <c r="BE334" s="12"/>
      <c r="BG334" s="12"/>
      <c r="BH334" s="12"/>
      <c r="BJ334" s="12"/>
      <c r="BK334" s="12"/>
      <c r="BM334" s="12"/>
      <c r="BN334" s="12"/>
      <c r="BO334" s="17"/>
      <c r="BQ334" s="12"/>
      <c r="BR334" s="12"/>
      <c r="BS334" s="17"/>
      <c r="BT334" s="17"/>
      <c r="BU334" s="12"/>
      <c r="BV334" s="12"/>
      <c r="BY334" s="12"/>
      <c r="BZ334" s="12"/>
      <c r="CC334" s="12"/>
      <c r="CD334" s="12"/>
      <c r="CG334" s="12"/>
      <c r="CH334" s="12"/>
      <c r="CI334" s="17"/>
      <c r="CJ334" s="12"/>
      <c r="CK334" s="12"/>
      <c r="CN334" s="12"/>
      <c r="CO334" s="12"/>
      <c r="CT334"/>
      <c r="CV334" s="12"/>
      <c r="CW334" s="12"/>
      <c r="CZ334" s="12"/>
      <c r="DA334" s="12"/>
      <c r="DB334" s="17"/>
      <c r="DC334" s="12"/>
      <c r="DD334" s="12"/>
      <c r="DE334" s="17"/>
      <c r="DF334" s="17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X334" s="9"/>
      <c r="EY334" s="9"/>
      <c r="EZ334" s="9"/>
      <c r="FA334" s="15"/>
      <c r="FB334" s="14"/>
      <c r="FC334" s="10"/>
      <c r="FD334" s="10"/>
      <c r="FE334" s="10"/>
      <c r="FF334" s="10"/>
      <c r="FG334" s="10"/>
      <c r="FH334" s="10"/>
    </row>
    <row r="335" spans="2:164" x14ac:dyDescent="0.25">
      <c r="B335"/>
      <c r="C335"/>
      <c r="D335"/>
      <c r="E335"/>
      <c r="F335" s="16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 s="16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 s="12"/>
      <c r="AK335" s="12"/>
      <c r="AL335" s="17"/>
      <c r="AN335" s="17"/>
      <c r="AP335" s="17"/>
      <c r="AQ335" s="12"/>
      <c r="AR335" s="12"/>
      <c r="AT335" s="17"/>
      <c r="AU335" s="12"/>
      <c r="AV335" s="12"/>
      <c r="AW335" s="17"/>
      <c r="AX335" s="12"/>
      <c r="AY335" s="12"/>
      <c r="BA335" s="12"/>
      <c r="BB335" s="12"/>
      <c r="BD335" s="12"/>
      <c r="BE335" s="12"/>
      <c r="BG335" s="12"/>
      <c r="BH335" s="12"/>
      <c r="BJ335" s="12"/>
      <c r="BK335" s="12"/>
      <c r="BM335" s="12"/>
      <c r="BN335" s="12"/>
      <c r="BO335" s="17"/>
      <c r="BQ335" s="12"/>
      <c r="BR335" s="12"/>
      <c r="BU335" s="12"/>
      <c r="BV335" s="12"/>
      <c r="BW335" s="17"/>
      <c r="BX335" s="17"/>
      <c r="BY335" s="12"/>
      <c r="BZ335" s="12"/>
      <c r="CC335" s="12"/>
      <c r="CD335" s="12"/>
      <c r="CG335" s="12"/>
      <c r="CH335" s="12"/>
      <c r="CI335" s="17"/>
      <c r="CJ335" s="12"/>
      <c r="CK335" s="12"/>
      <c r="CN335" s="12"/>
      <c r="CO335" s="12"/>
      <c r="CT335"/>
      <c r="CV335" s="12"/>
      <c r="CW335" s="12"/>
      <c r="CZ335" s="12"/>
      <c r="DA335" s="12"/>
      <c r="DC335" s="12"/>
      <c r="DD335" s="12"/>
      <c r="DE335" s="17"/>
      <c r="DF335" s="17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X335" s="9"/>
      <c r="EY335" s="9"/>
      <c r="EZ335" s="9"/>
      <c r="FA335" s="15"/>
      <c r="FB335" s="14"/>
      <c r="FC335" s="10"/>
      <c r="FD335" s="10"/>
      <c r="FE335" s="10"/>
      <c r="FF335" s="10"/>
      <c r="FG335" s="10"/>
      <c r="FH335" s="10"/>
    </row>
    <row r="336" spans="2:164" x14ac:dyDescent="0.25">
      <c r="B336"/>
      <c r="C336"/>
      <c r="D336"/>
      <c r="E336"/>
      <c r="F336" s="1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1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 s="12"/>
      <c r="AK336" s="12"/>
      <c r="AL336" s="17"/>
      <c r="AN336" s="17"/>
      <c r="AP336" s="17"/>
      <c r="AQ336" s="12"/>
      <c r="AR336" s="12"/>
      <c r="AT336" s="17"/>
      <c r="AU336" s="12"/>
      <c r="AV336" s="12"/>
      <c r="AW336" s="17"/>
      <c r="AX336" s="12"/>
      <c r="AY336" s="12"/>
      <c r="AZ336" s="17"/>
      <c r="BA336" s="12"/>
      <c r="BB336" s="12"/>
      <c r="BD336" s="12"/>
      <c r="BE336" s="12"/>
      <c r="BG336" s="12"/>
      <c r="BH336" s="12"/>
      <c r="BJ336" s="12"/>
      <c r="BK336" s="12"/>
      <c r="BM336" s="12"/>
      <c r="BN336" s="12"/>
      <c r="BO336" s="17"/>
      <c r="BQ336" s="12"/>
      <c r="BR336" s="12"/>
      <c r="BU336" s="12"/>
      <c r="BV336" s="12"/>
      <c r="BY336" s="12"/>
      <c r="BZ336" s="12"/>
      <c r="CC336" s="12"/>
      <c r="CD336" s="12"/>
      <c r="CG336" s="12"/>
      <c r="CH336" s="12"/>
      <c r="CI336" s="17"/>
      <c r="CJ336" s="12"/>
      <c r="CK336" s="12"/>
      <c r="CN336" s="12"/>
      <c r="CO336" s="12"/>
      <c r="CT336"/>
      <c r="CV336" s="12"/>
      <c r="CW336" s="12"/>
      <c r="CZ336" s="12"/>
      <c r="DA336" s="12"/>
      <c r="DC336" s="12"/>
      <c r="DD336" s="12"/>
      <c r="DE336" s="17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X336" s="9"/>
      <c r="EY336" s="9"/>
      <c r="EZ336" s="9"/>
      <c r="FA336" s="15"/>
      <c r="FB336" s="14"/>
      <c r="FC336" s="10"/>
      <c r="FD336" s="10"/>
      <c r="FE336" s="10"/>
      <c r="FF336" s="10"/>
      <c r="FG336" s="10"/>
      <c r="FH336" s="10"/>
    </row>
    <row r="337" spans="2:164" x14ac:dyDescent="0.25">
      <c r="B337"/>
      <c r="C337"/>
      <c r="D337"/>
      <c r="E337"/>
      <c r="F337" s="16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16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 s="12"/>
      <c r="AK337" s="12"/>
      <c r="AL337" s="17"/>
      <c r="AN337" s="17"/>
      <c r="AP337" s="17"/>
      <c r="AQ337" s="12"/>
      <c r="AR337" s="12"/>
      <c r="AT337" s="17"/>
      <c r="AU337" s="12"/>
      <c r="AV337" s="12"/>
      <c r="AW337" s="17"/>
      <c r="AX337" s="12"/>
      <c r="AY337" s="12"/>
      <c r="BA337" s="12"/>
      <c r="BB337" s="12"/>
      <c r="BD337" s="12"/>
      <c r="BE337" s="12"/>
      <c r="BF337" s="17"/>
      <c r="BG337" s="12"/>
      <c r="BH337" s="12"/>
      <c r="BJ337" s="12"/>
      <c r="BK337" s="12"/>
      <c r="BM337" s="12"/>
      <c r="BN337" s="12"/>
      <c r="BO337" s="17"/>
      <c r="BQ337" s="12"/>
      <c r="BR337" s="12"/>
      <c r="BU337" s="12"/>
      <c r="BV337" s="12"/>
      <c r="BW337" s="17"/>
      <c r="BX337" s="17"/>
      <c r="BY337" s="12"/>
      <c r="BZ337" s="12"/>
      <c r="CC337" s="12"/>
      <c r="CD337" s="12"/>
      <c r="CG337" s="12"/>
      <c r="CH337" s="12"/>
      <c r="CI337" s="17"/>
      <c r="CJ337" s="12"/>
      <c r="CK337" s="12"/>
      <c r="CN337" s="12"/>
      <c r="CO337" s="12"/>
      <c r="CT337"/>
      <c r="CV337" s="12"/>
      <c r="CW337" s="12"/>
      <c r="CZ337" s="12"/>
      <c r="DA337" s="12"/>
      <c r="DC337" s="12"/>
      <c r="DD337" s="12"/>
      <c r="DF337" s="1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X337" s="9"/>
      <c r="EY337" s="9"/>
      <c r="EZ337" s="9"/>
      <c r="FA337" s="15"/>
      <c r="FB337" s="14"/>
      <c r="FC337" s="10"/>
      <c r="FD337" s="10"/>
      <c r="FE337" s="10"/>
      <c r="FF337" s="10"/>
      <c r="FG337" s="10"/>
      <c r="FH337" s="10"/>
    </row>
    <row r="338" spans="2:164" x14ac:dyDescent="0.25">
      <c r="B338"/>
      <c r="C338"/>
      <c r="D338"/>
      <c r="E338"/>
      <c r="F338" s="16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16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 s="12"/>
      <c r="AK338" s="12"/>
      <c r="AL338" s="17"/>
      <c r="AN338" s="17"/>
      <c r="AP338" s="17"/>
      <c r="AQ338" s="12"/>
      <c r="AR338" s="12"/>
      <c r="AT338" s="17"/>
      <c r="AU338" s="12"/>
      <c r="AV338" s="12"/>
      <c r="AW338" s="17"/>
      <c r="AX338" s="12"/>
      <c r="AY338" s="12"/>
      <c r="AZ338" s="17"/>
      <c r="BA338" s="12"/>
      <c r="BB338" s="12"/>
      <c r="BD338" s="12"/>
      <c r="BE338" s="12"/>
      <c r="BG338" s="12"/>
      <c r="BH338" s="12"/>
      <c r="BJ338" s="12"/>
      <c r="BK338" s="12"/>
      <c r="BM338" s="12"/>
      <c r="BN338" s="12"/>
      <c r="BO338" s="17"/>
      <c r="BQ338" s="12"/>
      <c r="BR338" s="12"/>
      <c r="BU338" s="12"/>
      <c r="BV338" s="12"/>
      <c r="BY338" s="12"/>
      <c r="BZ338" s="12"/>
      <c r="CC338" s="12"/>
      <c r="CD338" s="12"/>
      <c r="CG338" s="12"/>
      <c r="CH338" s="12"/>
      <c r="CJ338" s="12"/>
      <c r="CK338" s="12"/>
      <c r="CN338" s="12"/>
      <c r="CO338" s="12"/>
      <c r="CT338"/>
      <c r="CV338" s="12"/>
      <c r="CW338" s="12"/>
      <c r="CZ338" s="12"/>
      <c r="DA338" s="12"/>
      <c r="DC338" s="12"/>
      <c r="DD338" s="12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X338" s="9"/>
      <c r="EY338" s="9"/>
      <c r="EZ338" s="9"/>
      <c r="FA338" s="15"/>
      <c r="FB338" s="14"/>
      <c r="FC338" s="10"/>
      <c r="FD338" s="10"/>
      <c r="FE338" s="10"/>
      <c r="FF338" s="10"/>
      <c r="FG338" s="10"/>
      <c r="FH338" s="10"/>
    </row>
    <row r="339" spans="2:164" x14ac:dyDescent="0.25">
      <c r="B339"/>
      <c r="C339"/>
      <c r="D339"/>
      <c r="E339"/>
      <c r="F339" s="16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16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 s="12"/>
      <c r="AK339" s="12"/>
      <c r="AL339" s="17"/>
      <c r="AN339" s="17"/>
      <c r="AP339" s="17"/>
      <c r="AQ339" s="12"/>
      <c r="AR339" s="12"/>
      <c r="AT339" s="17"/>
      <c r="AU339" s="12"/>
      <c r="AV339" s="12"/>
      <c r="AW339" s="17"/>
      <c r="AX339" s="12"/>
      <c r="AY339" s="12"/>
      <c r="AZ339" s="17"/>
      <c r="BA339" s="12"/>
      <c r="BB339" s="12"/>
      <c r="BD339" s="12"/>
      <c r="BE339" s="12"/>
      <c r="BG339" s="12"/>
      <c r="BH339" s="12"/>
      <c r="BJ339" s="12"/>
      <c r="BK339" s="12"/>
      <c r="BM339" s="12"/>
      <c r="BN339" s="12"/>
      <c r="BO339" s="17"/>
      <c r="BQ339" s="12"/>
      <c r="BR339" s="12"/>
      <c r="BU339" s="12"/>
      <c r="BV339" s="12"/>
      <c r="BW339" s="17"/>
      <c r="BX339" s="17"/>
      <c r="BY339" s="12"/>
      <c r="BZ339" s="12"/>
      <c r="CC339" s="12"/>
      <c r="CD339" s="12"/>
      <c r="CG339" s="12"/>
      <c r="CH339" s="12"/>
      <c r="CI339" s="17"/>
      <c r="CJ339" s="12"/>
      <c r="CK339" s="12"/>
      <c r="CN339" s="12"/>
      <c r="CO339" s="12"/>
      <c r="CT339"/>
      <c r="CV339" s="12"/>
      <c r="CW339" s="12"/>
      <c r="CZ339" s="12"/>
      <c r="DA339" s="12"/>
      <c r="DC339" s="12"/>
      <c r="DD339" s="12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X339" s="9"/>
      <c r="EY339" s="9"/>
      <c r="EZ339" s="9"/>
      <c r="FA339" s="15"/>
      <c r="FB339" s="14"/>
      <c r="FC339" s="10"/>
      <c r="FD339" s="10"/>
      <c r="FE339" s="10"/>
      <c r="FF339" s="10"/>
      <c r="FG339" s="10"/>
      <c r="FH339" s="10"/>
    </row>
    <row r="340" spans="2:164" x14ac:dyDescent="0.25">
      <c r="B340"/>
      <c r="C340"/>
      <c r="D340"/>
      <c r="E340"/>
      <c r="F340" s="16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16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 s="12"/>
      <c r="AK340" s="12"/>
      <c r="AL340" s="17"/>
      <c r="AN340" s="17"/>
      <c r="AP340" s="17"/>
      <c r="AQ340" s="12"/>
      <c r="AR340" s="12"/>
      <c r="AT340" s="17"/>
      <c r="AU340" s="12"/>
      <c r="AV340" s="12"/>
      <c r="AW340" s="17"/>
      <c r="AX340" s="12"/>
      <c r="AY340" s="12"/>
      <c r="BA340" s="12"/>
      <c r="BB340" s="12"/>
      <c r="BD340" s="12"/>
      <c r="BE340" s="12"/>
      <c r="BG340" s="12"/>
      <c r="BH340" s="12"/>
      <c r="BI340" s="17"/>
      <c r="BJ340" s="12"/>
      <c r="BK340" s="12"/>
      <c r="BM340" s="12"/>
      <c r="BN340" s="12"/>
      <c r="BO340" s="17"/>
      <c r="BQ340" s="12"/>
      <c r="BR340" s="12"/>
      <c r="BU340" s="12"/>
      <c r="BV340" s="12"/>
      <c r="BY340" s="12"/>
      <c r="BZ340" s="12"/>
      <c r="CC340" s="12"/>
      <c r="CD340" s="12"/>
      <c r="CG340" s="12"/>
      <c r="CH340" s="12"/>
      <c r="CJ340" s="12"/>
      <c r="CK340" s="12"/>
      <c r="CN340" s="12"/>
      <c r="CO340" s="12"/>
      <c r="CT340"/>
      <c r="CV340" s="12"/>
      <c r="CW340" s="12"/>
      <c r="CZ340" s="12"/>
      <c r="DA340" s="12"/>
      <c r="DC340" s="12"/>
      <c r="DD340" s="12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X340" s="9"/>
      <c r="EY340" s="9"/>
      <c r="EZ340" s="9"/>
      <c r="FA340" s="15"/>
      <c r="FB340" s="14"/>
      <c r="FC340" s="10"/>
      <c r="FD340" s="10"/>
      <c r="FE340" s="10"/>
      <c r="FF340" s="10"/>
      <c r="FG340" s="10"/>
      <c r="FH340" s="10"/>
    </row>
    <row r="341" spans="2:164" x14ac:dyDescent="0.25">
      <c r="B341"/>
      <c r="C341"/>
      <c r="D341"/>
      <c r="E341"/>
      <c r="F341" s="16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16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 s="12"/>
      <c r="AK341" s="12"/>
      <c r="AL341" s="17"/>
      <c r="AN341" s="17"/>
      <c r="AP341" s="17"/>
      <c r="AQ341" s="12"/>
      <c r="AR341" s="12"/>
      <c r="AT341" s="17"/>
      <c r="AU341" s="12"/>
      <c r="AV341" s="12"/>
      <c r="AW341" s="17"/>
      <c r="AX341" s="12"/>
      <c r="AY341" s="12"/>
      <c r="AZ341" s="17"/>
      <c r="BA341" s="12"/>
      <c r="BB341" s="12"/>
      <c r="BD341" s="12"/>
      <c r="BE341" s="12"/>
      <c r="BG341" s="12"/>
      <c r="BH341" s="12"/>
      <c r="BJ341" s="12"/>
      <c r="BK341" s="12"/>
      <c r="BM341" s="12"/>
      <c r="BN341" s="12"/>
      <c r="BQ341" s="12"/>
      <c r="BR341" s="12"/>
      <c r="BU341" s="12"/>
      <c r="BV341" s="12"/>
      <c r="BW341" s="17"/>
      <c r="BX341" s="17"/>
      <c r="BY341" s="12"/>
      <c r="BZ341" s="12"/>
      <c r="CC341" s="12"/>
      <c r="CD341" s="12"/>
      <c r="CG341" s="12"/>
      <c r="CH341" s="12"/>
      <c r="CI341" s="17"/>
      <c r="CJ341" s="12"/>
      <c r="CK341" s="12"/>
      <c r="CN341" s="12"/>
      <c r="CO341" s="12"/>
      <c r="CT341"/>
      <c r="CV341" s="12"/>
      <c r="CW341" s="12"/>
      <c r="CZ341" s="12"/>
      <c r="DA341" s="12"/>
      <c r="DC341" s="12"/>
      <c r="DD341" s="12"/>
      <c r="DE341" s="17"/>
      <c r="DF341" s="17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X341" s="9"/>
      <c r="EY341" s="9"/>
      <c r="EZ341" s="9"/>
      <c r="FA341" s="15"/>
      <c r="FB341" s="14"/>
      <c r="FC341" s="10"/>
      <c r="FD341" s="10"/>
      <c r="FE341" s="10"/>
      <c r="FF341" s="10"/>
      <c r="FG341" s="10"/>
      <c r="FH341" s="10"/>
    </row>
    <row r="342" spans="2:164" x14ac:dyDescent="0.25">
      <c r="B342"/>
      <c r="C342"/>
      <c r="D342"/>
      <c r="E342"/>
      <c r="F342" s="16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16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 s="12"/>
      <c r="AK342" s="12"/>
      <c r="AL342" s="17"/>
      <c r="AN342" s="17"/>
      <c r="AP342" s="17"/>
      <c r="AQ342" s="12"/>
      <c r="AR342" s="12"/>
      <c r="AT342" s="17"/>
      <c r="AU342" s="12"/>
      <c r="AV342" s="12"/>
      <c r="AW342" s="17"/>
      <c r="AX342" s="12"/>
      <c r="AY342" s="12"/>
      <c r="BA342" s="12"/>
      <c r="BB342" s="12"/>
      <c r="BC342" s="17"/>
      <c r="BD342" s="12"/>
      <c r="BE342" s="12"/>
      <c r="BG342" s="12"/>
      <c r="BH342" s="12"/>
      <c r="BJ342" s="12"/>
      <c r="BK342" s="12"/>
      <c r="BM342" s="12"/>
      <c r="BN342" s="12"/>
      <c r="BQ342" s="12"/>
      <c r="BR342" s="12"/>
      <c r="BU342" s="12"/>
      <c r="BV342" s="12"/>
      <c r="BY342" s="12"/>
      <c r="BZ342" s="12"/>
      <c r="CC342" s="12"/>
      <c r="CD342" s="12"/>
      <c r="CG342" s="12"/>
      <c r="CH342" s="12"/>
      <c r="CJ342" s="12"/>
      <c r="CK342" s="12"/>
      <c r="CN342" s="12"/>
      <c r="CO342" s="12"/>
      <c r="CT342"/>
      <c r="CV342" s="12"/>
      <c r="CW342" s="12"/>
      <c r="CZ342" s="12"/>
      <c r="DA342" s="12"/>
      <c r="DC342" s="12"/>
      <c r="DD342" s="1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X342" s="9"/>
      <c r="EY342" s="9"/>
      <c r="EZ342" s="9"/>
      <c r="FA342" s="15"/>
      <c r="FB342" s="14"/>
      <c r="FC342" s="10"/>
      <c r="FD342" s="10"/>
      <c r="FE342" s="10"/>
      <c r="FF342" s="10"/>
      <c r="FG342" s="10"/>
      <c r="FH342" s="10"/>
    </row>
    <row r="343" spans="2:164" x14ac:dyDescent="0.25">
      <c r="B343"/>
      <c r="C343"/>
      <c r="D343"/>
      <c r="E343"/>
      <c r="F343" s="16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16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 s="12"/>
      <c r="AK343" s="12"/>
      <c r="AL343" s="17"/>
      <c r="AN343" s="17"/>
      <c r="AP343" s="17"/>
      <c r="AQ343" s="12"/>
      <c r="AR343" s="12"/>
      <c r="AT343" s="17"/>
      <c r="AU343" s="12"/>
      <c r="AV343" s="12"/>
      <c r="AW343" s="17"/>
      <c r="AX343" s="12"/>
      <c r="AY343" s="12"/>
      <c r="BA343" s="12"/>
      <c r="BB343" s="12"/>
      <c r="BC343" s="17"/>
      <c r="BD343" s="12"/>
      <c r="BE343" s="12"/>
      <c r="BG343" s="12"/>
      <c r="BH343" s="12"/>
      <c r="BJ343" s="12"/>
      <c r="BK343" s="12"/>
      <c r="BM343" s="12"/>
      <c r="BN343" s="12"/>
      <c r="BO343" s="17"/>
      <c r="BQ343" s="12"/>
      <c r="BR343" s="12"/>
      <c r="BU343" s="12"/>
      <c r="BV343" s="12"/>
      <c r="BY343" s="12"/>
      <c r="BZ343" s="12"/>
      <c r="CC343" s="12"/>
      <c r="CD343" s="12"/>
      <c r="CG343" s="12"/>
      <c r="CH343" s="12"/>
      <c r="CJ343" s="12"/>
      <c r="CK343" s="12"/>
      <c r="CN343" s="12"/>
      <c r="CO343" s="12"/>
      <c r="CT343"/>
      <c r="CV343" s="12"/>
      <c r="CW343" s="12"/>
      <c r="CZ343" s="12"/>
      <c r="DA343" s="12"/>
      <c r="DC343" s="12"/>
      <c r="DD343" s="12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X343" s="9"/>
      <c r="EY343" s="9"/>
      <c r="EZ343" s="9"/>
      <c r="FA343" s="15"/>
      <c r="FB343" s="14"/>
      <c r="FC343" s="10"/>
      <c r="FD343" s="10"/>
      <c r="FE343" s="10"/>
      <c r="FF343" s="10"/>
      <c r="FG343" s="10"/>
      <c r="FH343" s="10"/>
    </row>
    <row r="344" spans="2:164" x14ac:dyDescent="0.25">
      <c r="B344"/>
      <c r="C344"/>
      <c r="D344"/>
      <c r="E344"/>
      <c r="F344" s="16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16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 s="12"/>
      <c r="AK344" s="12"/>
      <c r="AL344" s="17"/>
      <c r="AN344" s="17"/>
      <c r="AP344" s="17"/>
      <c r="AQ344" s="12"/>
      <c r="AR344" s="12"/>
      <c r="AT344" s="17"/>
      <c r="AU344" s="12"/>
      <c r="AV344" s="12"/>
      <c r="AW344" s="17"/>
      <c r="AX344" s="12"/>
      <c r="AY344" s="12"/>
      <c r="BA344" s="12"/>
      <c r="BB344" s="12"/>
      <c r="BD344" s="12"/>
      <c r="BE344" s="12"/>
      <c r="BG344" s="12"/>
      <c r="BH344" s="12"/>
      <c r="BJ344" s="12"/>
      <c r="BK344" s="12"/>
      <c r="BM344" s="12"/>
      <c r="BN344" s="12"/>
      <c r="BO344" s="17"/>
      <c r="BQ344" s="12"/>
      <c r="BR344" s="12"/>
      <c r="BU344" s="12"/>
      <c r="BV344" s="12"/>
      <c r="BY344" s="12"/>
      <c r="BZ344" s="12"/>
      <c r="CC344" s="12"/>
      <c r="CD344" s="12"/>
      <c r="CG344" s="12"/>
      <c r="CH344" s="12"/>
      <c r="CJ344" s="12"/>
      <c r="CK344" s="12"/>
      <c r="CN344" s="12"/>
      <c r="CO344" s="12"/>
      <c r="CT344"/>
      <c r="CV344" s="12"/>
      <c r="CW344" s="12"/>
      <c r="CZ344" s="12"/>
      <c r="DA344" s="12"/>
      <c r="DC344" s="12"/>
      <c r="DD344" s="12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X344" s="9"/>
      <c r="EY344" s="9"/>
      <c r="EZ344" s="9"/>
      <c r="FA344" s="15"/>
      <c r="FB344" s="14"/>
      <c r="FC344" s="10"/>
      <c r="FD344" s="10"/>
      <c r="FE344" s="10"/>
      <c r="FF344" s="10"/>
      <c r="FG344" s="10"/>
      <c r="FH344" s="10"/>
    </row>
    <row r="345" spans="2:164" x14ac:dyDescent="0.25">
      <c r="B345"/>
      <c r="C345"/>
      <c r="D345"/>
      <c r="E345"/>
      <c r="F345" s="16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16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 s="12"/>
      <c r="AK345" s="12"/>
      <c r="AL345" s="17"/>
      <c r="AN345" s="17"/>
      <c r="AP345" s="17"/>
      <c r="AQ345" s="12"/>
      <c r="AR345" s="12"/>
      <c r="AT345" s="17"/>
      <c r="AU345" s="12"/>
      <c r="AV345" s="12"/>
      <c r="AW345" s="17"/>
      <c r="AX345" s="12"/>
      <c r="AY345" s="12"/>
      <c r="BA345" s="12"/>
      <c r="BB345" s="12"/>
      <c r="BD345" s="12"/>
      <c r="BE345" s="12"/>
      <c r="BG345" s="12"/>
      <c r="BH345" s="12"/>
      <c r="BI345" s="17"/>
      <c r="BJ345" s="12"/>
      <c r="BK345" s="12"/>
      <c r="BM345" s="12"/>
      <c r="BN345" s="12"/>
      <c r="BO345" s="17"/>
      <c r="BQ345" s="12"/>
      <c r="BR345" s="12"/>
      <c r="BU345" s="12"/>
      <c r="BV345" s="12"/>
      <c r="BY345" s="12"/>
      <c r="BZ345" s="12"/>
      <c r="CC345" s="12"/>
      <c r="CD345" s="12"/>
      <c r="CG345" s="12"/>
      <c r="CH345" s="12"/>
      <c r="CJ345" s="12"/>
      <c r="CK345" s="12"/>
      <c r="CN345" s="12"/>
      <c r="CO345" s="12"/>
      <c r="CT345"/>
      <c r="CV345" s="12"/>
      <c r="CW345" s="12"/>
      <c r="CZ345" s="12"/>
      <c r="DA345" s="12"/>
      <c r="DC345" s="12"/>
      <c r="DD345" s="12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X345" s="9"/>
      <c r="EY345" s="9"/>
      <c r="EZ345" s="9"/>
      <c r="FA345" s="15"/>
      <c r="FB345" s="14"/>
      <c r="FC345" s="10"/>
      <c r="FD345" s="10"/>
      <c r="FE345" s="10"/>
      <c r="FF345" s="10"/>
      <c r="FG345" s="10"/>
      <c r="FH345" s="10"/>
    </row>
    <row r="346" spans="2:164" x14ac:dyDescent="0.25">
      <c r="B346"/>
      <c r="C346"/>
      <c r="D346"/>
      <c r="E346"/>
      <c r="F346" s="1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1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 s="12"/>
      <c r="AK346" s="12"/>
      <c r="AL346" s="17"/>
      <c r="AN346" s="17"/>
      <c r="AP346" s="17"/>
      <c r="AQ346" s="12"/>
      <c r="AR346" s="12"/>
      <c r="AT346" s="17"/>
      <c r="AU346" s="12"/>
      <c r="AV346" s="12"/>
      <c r="AW346" s="17"/>
      <c r="AX346" s="12"/>
      <c r="AY346" s="12"/>
      <c r="BA346" s="12"/>
      <c r="BB346" s="12"/>
      <c r="BC346" s="17"/>
      <c r="BD346" s="12"/>
      <c r="BE346" s="12"/>
      <c r="BG346" s="12"/>
      <c r="BH346" s="12"/>
      <c r="BJ346" s="12"/>
      <c r="BK346" s="12"/>
      <c r="BM346" s="12"/>
      <c r="BN346" s="12"/>
      <c r="BO346" s="17"/>
      <c r="BQ346" s="12"/>
      <c r="BR346" s="12"/>
      <c r="BU346" s="12"/>
      <c r="BV346" s="12"/>
      <c r="BY346" s="12"/>
      <c r="BZ346" s="12"/>
      <c r="CC346" s="12"/>
      <c r="CD346" s="12"/>
      <c r="CG346" s="12"/>
      <c r="CH346" s="12"/>
      <c r="CI346" s="17"/>
      <c r="CJ346" s="12"/>
      <c r="CK346" s="12"/>
      <c r="CN346" s="12"/>
      <c r="CO346" s="12"/>
      <c r="CT346"/>
      <c r="CV346" s="12"/>
      <c r="CW346" s="12"/>
      <c r="CZ346" s="12"/>
      <c r="DA346" s="12"/>
      <c r="DC346" s="12"/>
      <c r="DD346" s="12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X346" s="9"/>
      <c r="EY346" s="9"/>
      <c r="EZ346" s="9"/>
      <c r="FA346" s="15"/>
      <c r="FB346" s="14"/>
      <c r="FC346" s="10"/>
      <c r="FD346" s="10"/>
      <c r="FE346" s="10"/>
      <c r="FF346" s="10"/>
      <c r="FG346" s="10"/>
      <c r="FH346" s="10"/>
    </row>
    <row r="347" spans="2:164" x14ac:dyDescent="0.25">
      <c r="B347"/>
      <c r="C347"/>
      <c r="D347"/>
      <c r="E347"/>
      <c r="F347" s="16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16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 s="12"/>
      <c r="AK347" s="12"/>
      <c r="AL347" s="17"/>
      <c r="AN347" s="17"/>
      <c r="AP347" s="17"/>
      <c r="AQ347" s="12"/>
      <c r="AR347" s="12"/>
      <c r="AT347" s="17"/>
      <c r="AU347" s="12"/>
      <c r="AV347" s="12"/>
      <c r="AW347" s="17"/>
      <c r="AX347" s="12"/>
      <c r="AY347" s="12"/>
      <c r="BA347" s="12"/>
      <c r="BB347" s="12"/>
      <c r="BC347" s="17"/>
      <c r="BD347" s="12"/>
      <c r="BE347" s="12"/>
      <c r="BG347" s="12"/>
      <c r="BH347" s="12"/>
      <c r="BJ347" s="12"/>
      <c r="BK347" s="12"/>
      <c r="BM347" s="12"/>
      <c r="BN347" s="12"/>
      <c r="BO347" s="17"/>
      <c r="BQ347" s="12"/>
      <c r="BR347" s="12"/>
      <c r="BU347" s="12"/>
      <c r="BV347" s="12"/>
      <c r="BW347" s="17"/>
      <c r="BX347" s="17"/>
      <c r="BY347" s="12"/>
      <c r="BZ347" s="12"/>
      <c r="CC347" s="12"/>
      <c r="CD347" s="12"/>
      <c r="CG347" s="12"/>
      <c r="CH347" s="12"/>
      <c r="CI347" s="17"/>
      <c r="CJ347" s="12"/>
      <c r="CK347" s="12"/>
      <c r="CN347" s="12"/>
      <c r="CO347" s="12"/>
      <c r="CT347"/>
      <c r="CV347" s="12"/>
      <c r="CW347" s="12"/>
      <c r="CZ347" s="12"/>
      <c r="DA347" s="12"/>
      <c r="DC347" s="12"/>
      <c r="DD347" s="12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X347" s="9"/>
      <c r="EY347" s="9"/>
      <c r="EZ347" s="9"/>
      <c r="FA347" s="15"/>
      <c r="FB347" s="14"/>
      <c r="FC347" s="10"/>
      <c r="FD347" s="10"/>
      <c r="FE347" s="10"/>
      <c r="FF347" s="10"/>
      <c r="FG347" s="10"/>
      <c r="FH347" s="10"/>
    </row>
    <row r="348" spans="2:164" x14ac:dyDescent="0.25">
      <c r="B348"/>
      <c r="C348"/>
      <c r="D348"/>
      <c r="E348"/>
      <c r="F348" s="16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16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 s="12"/>
      <c r="AK348" s="12"/>
      <c r="AL348" s="17"/>
      <c r="AN348" s="17"/>
      <c r="AP348" s="17"/>
      <c r="AQ348" s="12"/>
      <c r="AR348" s="12"/>
      <c r="AT348" s="17"/>
      <c r="AU348" s="12"/>
      <c r="AV348" s="12"/>
      <c r="AW348" s="17"/>
      <c r="AX348" s="12"/>
      <c r="AY348" s="12"/>
      <c r="AZ348" s="17"/>
      <c r="BA348" s="12"/>
      <c r="BB348" s="12"/>
      <c r="BD348" s="12"/>
      <c r="BE348" s="12"/>
      <c r="BG348" s="12"/>
      <c r="BH348" s="12"/>
      <c r="BJ348" s="12"/>
      <c r="BK348" s="12"/>
      <c r="BM348" s="12"/>
      <c r="BN348" s="12"/>
      <c r="BO348" s="17"/>
      <c r="BQ348" s="12"/>
      <c r="BR348" s="12"/>
      <c r="BU348" s="12"/>
      <c r="BV348" s="12"/>
      <c r="BY348" s="12"/>
      <c r="BZ348" s="12"/>
      <c r="CC348" s="12"/>
      <c r="CD348" s="12"/>
      <c r="CG348" s="12"/>
      <c r="CH348" s="12"/>
      <c r="CJ348" s="12"/>
      <c r="CK348" s="12"/>
      <c r="CN348" s="12"/>
      <c r="CO348" s="12"/>
      <c r="CT348"/>
      <c r="CV348" s="12"/>
      <c r="CW348" s="12"/>
      <c r="CZ348" s="12"/>
      <c r="DA348" s="12"/>
      <c r="DC348" s="12"/>
      <c r="DD348" s="12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X348" s="9"/>
      <c r="EY348" s="9"/>
      <c r="EZ348" s="9"/>
      <c r="FA348" s="15"/>
      <c r="FB348" s="14"/>
      <c r="FC348" s="10"/>
      <c r="FD348" s="10"/>
      <c r="FE348" s="10"/>
      <c r="FF348" s="10"/>
      <c r="FG348" s="10"/>
      <c r="FH348" s="10"/>
    </row>
    <row r="349" spans="2:164" x14ac:dyDescent="0.25">
      <c r="B349"/>
      <c r="C349"/>
      <c r="D349"/>
      <c r="E349"/>
      <c r="F349" s="16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16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 s="12"/>
      <c r="AK349" s="12"/>
      <c r="AL349" s="17"/>
      <c r="AP349" s="17"/>
      <c r="AQ349" s="12"/>
      <c r="AR349" s="12"/>
      <c r="AT349" s="17"/>
      <c r="AU349" s="12"/>
      <c r="AV349" s="12"/>
      <c r="AW349" s="17"/>
      <c r="AX349" s="12"/>
      <c r="AY349" s="12"/>
      <c r="BA349" s="12"/>
      <c r="BB349" s="12"/>
      <c r="BD349" s="12"/>
      <c r="BE349" s="12"/>
      <c r="BG349" s="12"/>
      <c r="BH349" s="12"/>
      <c r="BJ349" s="12"/>
      <c r="BK349" s="12"/>
      <c r="BM349" s="12"/>
      <c r="BN349" s="12"/>
      <c r="BO349" s="17"/>
      <c r="BQ349" s="12"/>
      <c r="BR349" s="12"/>
      <c r="BU349" s="12"/>
      <c r="BV349" s="12"/>
      <c r="BY349" s="12"/>
      <c r="BZ349" s="12"/>
      <c r="CC349" s="12"/>
      <c r="CD349" s="12"/>
      <c r="CG349" s="12"/>
      <c r="CH349" s="12"/>
      <c r="CJ349" s="12"/>
      <c r="CK349" s="12"/>
      <c r="CN349" s="12"/>
      <c r="CO349" s="12"/>
      <c r="CT349"/>
      <c r="CV349" s="12"/>
      <c r="CW349" s="12"/>
      <c r="CZ349" s="12"/>
      <c r="DA349" s="12"/>
      <c r="DC349" s="12"/>
      <c r="DD349" s="12"/>
      <c r="DF349" s="17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X349" s="9"/>
      <c r="EY349" s="9"/>
      <c r="EZ349" s="9"/>
      <c r="FA349" s="15"/>
      <c r="FB349" s="14"/>
      <c r="FC349" s="10"/>
      <c r="FD349" s="10"/>
      <c r="FE349" s="10"/>
      <c r="FF349" s="10"/>
      <c r="FG349" s="10"/>
      <c r="FH349" s="10"/>
    </row>
    <row r="350" spans="2:164" x14ac:dyDescent="0.25">
      <c r="B350"/>
      <c r="C350"/>
      <c r="D350"/>
      <c r="E350"/>
      <c r="F350" s="16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16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 s="12"/>
      <c r="AK350" s="12"/>
      <c r="AL350" s="17"/>
      <c r="AN350" s="17"/>
      <c r="AP350" s="17"/>
      <c r="AQ350" s="12"/>
      <c r="AR350" s="12"/>
      <c r="AT350" s="17"/>
      <c r="AU350" s="12"/>
      <c r="AV350" s="12"/>
      <c r="AW350" s="17"/>
      <c r="AX350" s="12"/>
      <c r="AY350" s="12"/>
      <c r="BA350" s="12"/>
      <c r="BB350" s="12"/>
      <c r="BD350" s="12"/>
      <c r="BE350" s="12"/>
      <c r="BG350" s="12"/>
      <c r="BH350" s="12"/>
      <c r="BJ350" s="12"/>
      <c r="BK350" s="12"/>
      <c r="BM350" s="12"/>
      <c r="BN350" s="12"/>
      <c r="BQ350" s="12"/>
      <c r="BR350" s="12"/>
      <c r="BU350" s="12"/>
      <c r="BV350" s="12"/>
      <c r="BY350" s="12"/>
      <c r="BZ350" s="12"/>
      <c r="CC350" s="12"/>
      <c r="CD350" s="12"/>
      <c r="CG350" s="12"/>
      <c r="CH350" s="12"/>
      <c r="CJ350" s="12"/>
      <c r="CK350" s="12"/>
      <c r="CN350" s="12"/>
      <c r="CO350" s="12"/>
      <c r="CT350"/>
      <c r="CV350" s="12"/>
      <c r="CW350" s="12"/>
      <c r="CZ350" s="12"/>
      <c r="DA350" s="12"/>
      <c r="DC350" s="12"/>
      <c r="DD350" s="12"/>
      <c r="DF350" s="17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X350" s="9"/>
      <c r="EY350" s="9"/>
      <c r="EZ350" s="9"/>
      <c r="FA350" s="15"/>
      <c r="FB350" s="14"/>
      <c r="FC350" s="10"/>
      <c r="FD350" s="10"/>
      <c r="FE350" s="10"/>
      <c r="FF350" s="10"/>
      <c r="FG350" s="10"/>
      <c r="FH350" s="10"/>
    </row>
    <row r="351" spans="2:164" x14ac:dyDescent="0.25">
      <c r="B351"/>
      <c r="C351"/>
      <c r="D351"/>
      <c r="E351"/>
      <c r="F351" s="16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16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 s="12"/>
      <c r="AK351" s="12"/>
      <c r="AL351" s="17"/>
      <c r="AP351" s="17"/>
      <c r="AQ351" s="12"/>
      <c r="AR351" s="12"/>
      <c r="AT351" s="17"/>
      <c r="AU351" s="12"/>
      <c r="AV351" s="12"/>
      <c r="AW351" s="17"/>
      <c r="AX351" s="12"/>
      <c r="AY351" s="12"/>
      <c r="BA351" s="12"/>
      <c r="BB351" s="12"/>
      <c r="BD351" s="12"/>
      <c r="BE351" s="12"/>
      <c r="BG351" s="12"/>
      <c r="BH351" s="12"/>
      <c r="BJ351" s="12"/>
      <c r="BK351" s="12"/>
      <c r="BM351" s="12"/>
      <c r="BN351" s="12"/>
      <c r="BQ351" s="12"/>
      <c r="BR351" s="12"/>
      <c r="BU351" s="12"/>
      <c r="BV351" s="12"/>
      <c r="BY351" s="12"/>
      <c r="BZ351" s="12"/>
      <c r="CC351" s="12"/>
      <c r="CD351" s="12"/>
      <c r="CG351" s="12"/>
      <c r="CH351" s="12"/>
      <c r="CJ351" s="12"/>
      <c r="CK351" s="12"/>
      <c r="CN351" s="12"/>
      <c r="CO351" s="12"/>
      <c r="CT351"/>
      <c r="CV351" s="12"/>
      <c r="CW351" s="12"/>
      <c r="CZ351" s="12"/>
      <c r="DA351" s="12"/>
      <c r="DC351" s="12"/>
      <c r="DD351" s="12"/>
      <c r="DF351" s="17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X351" s="9"/>
      <c r="EY351" s="9"/>
      <c r="EZ351" s="9"/>
      <c r="FA351" s="15"/>
      <c r="FB351" s="14"/>
      <c r="FC351" s="10"/>
      <c r="FD351" s="10"/>
      <c r="FE351" s="10"/>
      <c r="FF351" s="10"/>
      <c r="FG351" s="10"/>
      <c r="FH351" s="10"/>
    </row>
    <row r="352" spans="2:164" x14ac:dyDescent="0.25">
      <c r="B352"/>
      <c r="C352"/>
      <c r="D352"/>
      <c r="E352"/>
      <c r="F352" s="16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16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 s="12"/>
      <c r="AK352" s="12"/>
      <c r="AL352" s="17"/>
      <c r="AP352" s="17"/>
      <c r="AQ352" s="12"/>
      <c r="AR352" s="12"/>
      <c r="AT352" s="17"/>
      <c r="AU352" s="12"/>
      <c r="AV352" s="12"/>
      <c r="AW352" s="17"/>
      <c r="AX352" s="12"/>
      <c r="AY352" s="12"/>
      <c r="BA352" s="12"/>
      <c r="BB352" s="12"/>
      <c r="BD352" s="12"/>
      <c r="BE352" s="12"/>
      <c r="BG352" s="12"/>
      <c r="BH352" s="12"/>
      <c r="BJ352" s="12"/>
      <c r="BK352" s="12"/>
      <c r="BM352" s="12"/>
      <c r="BN352" s="12"/>
      <c r="BO352" s="17"/>
      <c r="BQ352" s="12"/>
      <c r="BR352" s="12"/>
      <c r="BU352" s="12"/>
      <c r="BV352" s="12"/>
      <c r="BY352" s="12"/>
      <c r="BZ352" s="12"/>
      <c r="CC352" s="12"/>
      <c r="CD352" s="12"/>
      <c r="CG352" s="12"/>
      <c r="CH352" s="12"/>
      <c r="CJ352" s="12"/>
      <c r="CK352" s="12"/>
      <c r="CN352" s="12"/>
      <c r="CO352" s="12"/>
      <c r="CT352"/>
      <c r="CV352" s="12"/>
      <c r="CW352" s="12"/>
      <c r="CZ352" s="12"/>
      <c r="DA352" s="12"/>
      <c r="DC352" s="12"/>
      <c r="DD352" s="12"/>
      <c r="DF352" s="17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X352" s="9"/>
      <c r="EY352" s="9"/>
      <c r="EZ352" s="9"/>
      <c r="FA352" s="15"/>
      <c r="FB352" s="14"/>
      <c r="FC352" s="10"/>
      <c r="FD352" s="10"/>
      <c r="FE352" s="10"/>
      <c r="FF352" s="10"/>
      <c r="FG352" s="10"/>
      <c r="FH352" s="10"/>
    </row>
    <row r="353" spans="2:164" x14ac:dyDescent="0.25">
      <c r="B353"/>
      <c r="C353"/>
      <c r="D353"/>
      <c r="E353"/>
      <c r="F353" s="16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16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 s="12"/>
      <c r="AK353" s="12"/>
      <c r="AL353" s="17"/>
      <c r="AP353" s="17"/>
      <c r="AQ353" s="12"/>
      <c r="AR353" s="12"/>
      <c r="AT353" s="17"/>
      <c r="AU353" s="12"/>
      <c r="AV353" s="12"/>
      <c r="AW353" s="17"/>
      <c r="AX353" s="12"/>
      <c r="AY353" s="12"/>
      <c r="BA353" s="12"/>
      <c r="BB353" s="12"/>
      <c r="BD353" s="12"/>
      <c r="BE353" s="12"/>
      <c r="BG353" s="12"/>
      <c r="BH353" s="12"/>
      <c r="BJ353" s="12"/>
      <c r="BK353" s="12"/>
      <c r="BM353" s="12"/>
      <c r="BN353" s="12"/>
      <c r="BO353" s="17"/>
      <c r="BQ353" s="12"/>
      <c r="BR353" s="12"/>
      <c r="BU353" s="12"/>
      <c r="BV353" s="12"/>
      <c r="BY353" s="12"/>
      <c r="BZ353" s="12"/>
      <c r="CC353" s="12"/>
      <c r="CD353" s="12"/>
      <c r="CG353" s="12"/>
      <c r="CH353" s="12"/>
      <c r="CJ353" s="12"/>
      <c r="CK353" s="12"/>
      <c r="CN353" s="12"/>
      <c r="CO353" s="12"/>
      <c r="CT353"/>
      <c r="CV353" s="12"/>
      <c r="CW353" s="12"/>
      <c r="CZ353" s="12"/>
      <c r="DA353" s="12"/>
      <c r="DC353" s="12"/>
      <c r="DD353" s="12"/>
      <c r="DF353" s="17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X353" s="9"/>
      <c r="EY353" s="9"/>
      <c r="EZ353" s="9"/>
      <c r="FA353" s="15"/>
      <c r="FB353" s="14"/>
      <c r="FC353" s="10"/>
      <c r="FD353" s="10"/>
      <c r="FE353" s="10"/>
      <c r="FF353" s="10"/>
      <c r="FG353" s="10"/>
      <c r="FH353" s="10"/>
    </row>
    <row r="354" spans="2:164" x14ac:dyDescent="0.25">
      <c r="B354"/>
      <c r="C354"/>
      <c r="D354"/>
      <c r="E354"/>
      <c r="F354" s="16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 s="16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 s="12"/>
      <c r="AK354" s="12"/>
      <c r="AL354" s="17"/>
      <c r="AN354" s="17"/>
      <c r="AP354" s="17"/>
      <c r="AQ354" s="12"/>
      <c r="AR354" s="12"/>
      <c r="AT354" s="17"/>
      <c r="AU354" s="12"/>
      <c r="AV354" s="12"/>
      <c r="AW354" s="17"/>
      <c r="AX354" s="12"/>
      <c r="AY354" s="12"/>
      <c r="BA354" s="12"/>
      <c r="BB354" s="12"/>
      <c r="BD354" s="12"/>
      <c r="BE354" s="12"/>
      <c r="BG354" s="12"/>
      <c r="BH354" s="12"/>
      <c r="BJ354" s="12"/>
      <c r="BK354" s="12"/>
      <c r="BM354" s="12"/>
      <c r="BN354" s="12"/>
      <c r="BO354" s="17"/>
      <c r="BQ354" s="12"/>
      <c r="BR354" s="12"/>
      <c r="BS354" s="17"/>
      <c r="BT354" s="17"/>
      <c r="BU354" s="12"/>
      <c r="BV354" s="12"/>
      <c r="BY354" s="12"/>
      <c r="BZ354" s="12"/>
      <c r="CC354" s="12"/>
      <c r="CD354" s="12"/>
      <c r="CG354" s="12"/>
      <c r="CH354" s="12"/>
      <c r="CI354" s="17"/>
      <c r="CJ354" s="12"/>
      <c r="CK354" s="12"/>
      <c r="CN354" s="12"/>
      <c r="CO354" s="12"/>
      <c r="CT354"/>
      <c r="CV354" s="12"/>
      <c r="CW354" s="12"/>
      <c r="CZ354" s="12"/>
      <c r="DA354" s="12"/>
      <c r="DC354" s="12"/>
      <c r="DD354" s="12"/>
      <c r="DE354" s="17"/>
      <c r="DF354" s="17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X354" s="9"/>
      <c r="EY354" s="9"/>
      <c r="EZ354" s="9"/>
      <c r="FA354" s="15"/>
      <c r="FB354" s="14"/>
      <c r="FC354" s="10"/>
      <c r="FD354" s="10"/>
      <c r="FE354" s="10"/>
      <c r="FF354" s="10"/>
      <c r="FG354" s="10"/>
      <c r="FH354" s="10"/>
    </row>
    <row r="355" spans="2:164" x14ac:dyDescent="0.25">
      <c r="B355"/>
      <c r="C355"/>
      <c r="D355"/>
      <c r="E355"/>
      <c r="F355" s="16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 s="16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 s="12"/>
      <c r="AK355" s="12"/>
      <c r="AL355" s="17"/>
      <c r="AQ355" s="12"/>
      <c r="AR355" s="12"/>
      <c r="AU355" s="12"/>
      <c r="AV355" s="12"/>
      <c r="AW355" s="17"/>
      <c r="AX355" s="12"/>
      <c r="AY355" s="12"/>
      <c r="BA355" s="12"/>
      <c r="BB355" s="12"/>
      <c r="BD355" s="12"/>
      <c r="BE355" s="12"/>
      <c r="BG355" s="12"/>
      <c r="BH355" s="12"/>
      <c r="BJ355" s="12"/>
      <c r="BK355" s="12"/>
      <c r="BM355" s="12"/>
      <c r="BN355" s="12"/>
      <c r="BQ355" s="12"/>
      <c r="BR355" s="12"/>
      <c r="BU355" s="12"/>
      <c r="BV355" s="12"/>
      <c r="BY355" s="12"/>
      <c r="BZ355" s="12"/>
      <c r="CC355" s="12"/>
      <c r="CD355" s="12"/>
      <c r="CG355" s="12"/>
      <c r="CH355" s="12"/>
      <c r="CJ355" s="12"/>
      <c r="CK355" s="12"/>
      <c r="CN355" s="12"/>
      <c r="CO355" s="12"/>
      <c r="CT355"/>
      <c r="CV355" s="12"/>
      <c r="CW355" s="12"/>
      <c r="CZ355" s="12"/>
      <c r="DA355" s="12"/>
      <c r="DC355" s="12"/>
      <c r="DD355" s="12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X355" s="9"/>
      <c r="EY355" s="9"/>
      <c r="EZ355" s="9"/>
      <c r="FA355" s="15"/>
      <c r="FB355" s="14"/>
      <c r="FC355" s="10"/>
      <c r="FD355" s="10"/>
      <c r="FE355" s="10"/>
      <c r="FF355" s="10"/>
      <c r="FG355" s="10"/>
      <c r="FH355" s="10"/>
    </row>
    <row r="356" spans="2:164" x14ac:dyDescent="0.25">
      <c r="B356"/>
      <c r="C356"/>
      <c r="D356"/>
      <c r="E356"/>
      <c r="F356" s="1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 s="1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 s="12"/>
      <c r="AK356" s="12"/>
      <c r="AL356" s="17"/>
      <c r="AN356" s="17"/>
      <c r="AP356" s="17"/>
      <c r="AQ356" s="12"/>
      <c r="AR356" s="12"/>
      <c r="AT356" s="17"/>
      <c r="AU356" s="12"/>
      <c r="AV356" s="12"/>
      <c r="AW356" s="17"/>
      <c r="AX356" s="12"/>
      <c r="AY356" s="12"/>
      <c r="BA356" s="12"/>
      <c r="BB356" s="12"/>
      <c r="BD356" s="12"/>
      <c r="BE356" s="12"/>
      <c r="BG356" s="12"/>
      <c r="BH356" s="12"/>
      <c r="BJ356" s="12"/>
      <c r="BK356" s="12"/>
      <c r="BM356" s="12"/>
      <c r="BN356" s="12"/>
      <c r="BO356" s="17"/>
      <c r="BQ356" s="12"/>
      <c r="BR356" s="12"/>
      <c r="BU356" s="12"/>
      <c r="BV356" s="12"/>
      <c r="BY356" s="12"/>
      <c r="BZ356" s="12"/>
      <c r="CA356" s="17"/>
      <c r="CB356" s="17"/>
      <c r="CC356" s="12"/>
      <c r="CD356" s="12"/>
      <c r="CG356" s="12"/>
      <c r="CH356" s="12"/>
      <c r="CJ356" s="12"/>
      <c r="CK356" s="12"/>
      <c r="CN356" s="12"/>
      <c r="CO356" s="12"/>
      <c r="CT356"/>
      <c r="CV356" s="12"/>
      <c r="CW356" s="12"/>
      <c r="CZ356" s="12"/>
      <c r="DA356" s="12"/>
      <c r="DC356" s="12"/>
      <c r="DD356" s="12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X356" s="9"/>
      <c r="EY356" s="9"/>
      <c r="EZ356" s="9"/>
      <c r="FA356" s="15"/>
      <c r="FB356" s="14"/>
      <c r="FC356" s="10"/>
      <c r="FD356" s="10"/>
      <c r="FE356" s="10"/>
      <c r="FF356" s="10"/>
      <c r="FG356" s="10"/>
      <c r="FH356" s="10"/>
    </row>
    <row r="357" spans="2:164" x14ac:dyDescent="0.25">
      <c r="B357"/>
      <c r="C357"/>
      <c r="D357"/>
      <c r="E357"/>
      <c r="F357" s="16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 s="16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 s="12"/>
      <c r="AK357" s="12"/>
      <c r="AL357" s="17"/>
      <c r="AN357" s="17"/>
      <c r="AP357" s="17"/>
      <c r="AQ357" s="12"/>
      <c r="AR357" s="12"/>
      <c r="AT357" s="17"/>
      <c r="AU357" s="12"/>
      <c r="AV357" s="12"/>
      <c r="AW357" s="17"/>
      <c r="AX357" s="12"/>
      <c r="AY357" s="12"/>
      <c r="BA357" s="12"/>
      <c r="BB357" s="12"/>
      <c r="BD357" s="12"/>
      <c r="BE357" s="12"/>
      <c r="BG357" s="12"/>
      <c r="BH357" s="12"/>
      <c r="BJ357" s="12"/>
      <c r="BK357" s="12"/>
      <c r="BM357" s="12"/>
      <c r="BN357" s="12"/>
      <c r="BO357" s="17"/>
      <c r="BQ357" s="12"/>
      <c r="BR357" s="12"/>
      <c r="BU357" s="12"/>
      <c r="BV357" s="12"/>
      <c r="BW357" s="17"/>
      <c r="BX357" s="17"/>
      <c r="BY357" s="12"/>
      <c r="BZ357" s="12"/>
      <c r="CC357" s="12"/>
      <c r="CD357" s="12"/>
      <c r="CG357" s="12"/>
      <c r="CH357" s="12"/>
      <c r="CI357" s="17"/>
      <c r="CJ357" s="12"/>
      <c r="CK357" s="12"/>
      <c r="CN357" s="12"/>
      <c r="CO357" s="12"/>
      <c r="CT357"/>
      <c r="CV357" s="12"/>
      <c r="CW357" s="12"/>
      <c r="CZ357" s="12"/>
      <c r="DA357" s="12"/>
      <c r="DB357" s="17"/>
      <c r="DC357" s="12"/>
      <c r="DD357" s="12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X357" s="9"/>
      <c r="EY357" s="9"/>
      <c r="EZ357" s="9"/>
      <c r="FA357" s="15"/>
      <c r="FB357" s="14"/>
      <c r="FC357" s="10"/>
      <c r="FD357" s="10"/>
      <c r="FE357" s="10"/>
      <c r="FF357" s="10"/>
      <c r="FG357" s="10"/>
      <c r="FH357" s="10"/>
    </row>
    <row r="358" spans="2:164" x14ac:dyDescent="0.25">
      <c r="B358"/>
      <c r="C358"/>
      <c r="D358"/>
      <c r="E358"/>
      <c r="F358" s="16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 s="16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 s="12"/>
      <c r="AK358" s="12"/>
      <c r="AL358" s="17"/>
      <c r="AN358" s="17"/>
      <c r="AP358" s="17"/>
      <c r="AQ358" s="12"/>
      <c r="AR358" s="12"/>
      <c r="AT358" s="17"/>
      <c r="AU358" s="12"/>
      <c r="AV358" s="12"/>
      <c r="AW358" s="17"/>
      <c r="AX358" s="12"/>
      <c r="AY358" s="12"/>
      <c r="BA358" s="12"/>
      <c r="BB358" s="12"/>
      <c r="BD358" s="12"/>
      <c r="BE358" s="12"/>
      <c r="BG358" s="12"/>
      <c r="BH358" s="12"/>
      <c r="BJ358" s="12"/>
      <c r="BK358" s="12"/>
      <c r="BM358" s="12"/>
      <c r="BN358" s="12"/>
      <c r="BO358" s="17"/>
      <c r="BQ358" s="12"/>
      <c r="BR358" s="12"/>
      <c r="BS358" s="17"/>
      <c r="BT358" s="17"/>
      <c r="BU358" s="12"/>
      <c r="BV358" s="12"/>
      <c r="BY358" s="12"/>
      <c r="BZ358" s="12"/>
      <c r="CC358" s="12"/>
      <c r="CD358" s="12"/>
      <c r="CG358" s="12"/>
      <c r="CH358" s="12"/>
      <c r="CI358" s="17"/>
      <c r="CJ358" s="12"/>
      <c r="CK358" s="12"/>
      <c r="CN358" s="12"/>
      <c r="CO358" s="12"/>
      <c r="CT358"/>
      <c r="CV358" s="12"/>
      <c r="CW358" s="12"/>
      <c r="CZ358" s="12"/>
      <c r="DA358" s="12"/>
      <c r="DC358" s="12"/>
      <c r="DD358" s="12"/>
      <c r="DE358" s="17"/>
      <c r="DF358" s="17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X358" s="9"/>
      <c r="EY358" s="9"/>
      <c r="EZ358" s="9"/>
      <c r="FA358" s="15"/>
      <c r="FB358" s="14"/>
      <c r="FC358" s="10"/>
      <c r="FD358" s="10"/>
      <c r="FE358" s="10"/>
      <c r="FF358" s="10"/>
      <c r="FG358" s="10"/>
      <c r="FH358" s="10"/>
    </row>
    <row r="359" spans="2:164" x14ac:dyDescent="0.25">
      <c r="B359"/>
      <c r="C359"/>
      <c r="D359"/>
      <c r="E359"/>
      <c r="F359" s="16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 s="16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 s="12"/>
      <c r="AK359" s="12"/>
      <c r="AL359" s="17"/>
      <c r="AN359" s="17"/>
      <c r="AP359" s="17"/>
      <c r="AQ359" s="12"/>
      <c r="AR359" s="12"/>
      <c r="AT359" s="17"/>
      <c r="AU359" s="12"/>
      <c r="AV359" s="12"/>
      <c r="AW359" s="17"/>
      <c r="AX359" s="12"/>
      <c r="AY359" s="12"/>
      <c r="BA359" s="12"/>
      <c r="BB359" s="12"/>
      <c r="BD359" s="12"/>
      <c r="BE359" s="12"/>
      <c r="BG359" s="12"/>
      <c r="BH359" s="12"/>
      <c r="BJ359" s="12"/>
      <c r="BK359" s="12"/>
      <c r="BM359" s="12"/>
      <c r="BN359" s="12"/>
      <c r="BO359" s="17"/>
      <c r="BQ359" s="12"/>
      <c r="BR359" s="12"/>
      <c r="BU359" s="12"/>
      <c r="BV359" s="12"/>
      <c r="BW359" s="17"/>
      <c r="BX359" s="17"/>
      <c r="BY359" s="12"/>
      <c r="BZ359" s="12"/>
      <c r="CC359" s="12"/>
      <c r="CD359" s="12"/>
      <c r="CG359" s="12"/>
      <c r="CH359" s="12"/>
      <c r="CJ359" s="12"/>
      <c r="CK359" s="12"/>
      <c r="CL359" s="17"/>
      <c r="CM359" s="17"/>
      <c r="CN359" s="12"/>
      <c r="CO359" s="12"/>
      <c r="CT359"/>
      <c r="CV359" s="12"/>
      <c r="CW359" s="12"/>
      <c r="CZ359" s="12"/>
      <c r="DA359" s="12"/>
      <c r="DC359" s="12"/>
      <c r="DD359" s="12"/>
      <c r="DF359" s="17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X359" s="9"/>
      <c r="EY359" s="9"/>
      <c r="EZ359" s="9"/>
      <c r="FA359" s="15"/>
      <c r="FB359" s="14"/>
      <c r="FC359" s="10"/>
      <c r="FD359" s="10"/>
      <c r="FE359" s="10"/>
      <c r="FF359" s="10"/>
      <c r="FG359" s="10"/>
      <c r="FH359" s="10"/>
    </row>
    <row r="360" spans="2:164" x14ac:dyDescent="0.25">
      <c r="B360"/>
      <c r="C360"/>
      <c r="D360"/>
      <c r="E360"/>
      <c r="F360" s="16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s="16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 s="12"/>
      <c r="AK360" s="12"/>
      <c r="AL360" s="17"/>
      <c r="AN360" s="17"/>
      <c r="AP360" s="17"/>
      <c r="AQ360" s="12"/>
      <c r="AR360" s="12"/>
      <c r="AT360" s="17"/>
      <c r="AU360" s="12"/>
      <c r="AV360" s="12"/>
      <c r="AW360" s="17"/>
      <c r="AX360" s="12"/>
      <c r="AY360" s="12"/>
      <c r="BA360" s="12"/>
      <c r="BB360" s="12"/>
      <c r="BD360" s="12"/>
      <c r="BE360" s="12"/>
      <c r="BG360" s="12"/>
      <c r="BH360" s="12"/>
      <c r="BJ360" s="12"/>
      <c r="BK360" s="12"/>
      <c r="BM360" s="12"/>
      <c r="BN360" s="12"/>
      <c r="BO360" s="17"/>
      <c r="BQ360" s="12"/>
      <c r="BR360" s="12"/>
      <c r="BS360" s="17"/>
      <c r="BT360" s="17"/>
      <c r="BU360" s="12"/>
      <c r="BV360" s="12"/>
      <c r="BY360" s="12"/>
      <c r="BZ360" s="12"/>
      <c r="CC360" s="12"/>
      <c r="CD360" s="12"/>
      <c r="CG360" s="12"/>
      <c r="CH360" s="12"/>
      <c r="CJ360" s="12"/>
      <c r="CK360" s="12"/>
      <c r="CL360" s="17"/>
      <c r="CM360" s="17"/>
      <c r="CN360" s="12"/>
      <c r="CO360" s="12"/>
      <c r="CT360"/>
      <c r="CV360" s="12"/>
      <c r="CW360" s="12"/>
      <c r="CZ360" s="12"/>
      <c r="DA360" s="12"/>
      <c r="DC360" s="12"/>
      <c r="DD360" s="12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X360" s="9"/>
      <c r="EY360" s="9"/>
      <c r="EZ360" s="9"/>
      <c r="FA360" s="15"/>
      <c r="FB360" s="14"/>
      <c r="FC360" s="10"/>
      <c r="FD360" s="10"/>
      <c r="FE360" s="10"/>
      <c r="FF360" s="10"/>
      <c r="FG360" s="10"/>
      <c r="FH360" s="10"/>
    </row>
    <row r="361" spans="2:164" x14ac:dyDescent="0.25">
      <c r="B361"/>
      <c r="C361"/>
      <c r="D361"/>
      <c r="E361"/>
      <c r="F361" s="16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 s="16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 s="12"/>
      <c r="AK361" s="12"/>
      <c r="AL361" s="17"/>
      <c r="AN361" s="17"/>
      <c r="AP361" s="17"/>
      <c r="AQ361" s="12"/>
      <c r="AR361" s="12"/>
      <c r="AT361" s="17"/>
      <c r="AU361" s="12"/>
      <c r="AV361" s="12"/>
      <c r="AW361" s="17"/>
      <c r="AX361" s="12"/>
      <c r="AY361" s="12"/>
      <c r="BA361" s="12"/>
      <c r="BB361" s="12"/>
      <c r="BD361" s="12"/>
      <c r="BE361" s="12"/>
      <c r="BG361" s="12"/>
      <c r="BH361" s="12"/>
      <c r="BJ361" s="12"/>
      <c r="BK361" s="12"/>
      <c r="BM361" s="12"/>
      <c r="BN361" s="12"/>
      <c r="BO361" s="17"/>
      <c r="BQ361" s="12"/>
      <c r="BR361" s="12"/>
      <c r="BU361" s="12"/>
      <c r="BV361" s="12"/>
      <c r="BW361" s="17"/>
      <c r="BX361" s="17"/>
      <c r="BY361" s="12"/>
      <c r="BZ361" s="12"/>
      <c r="CC361" s="12"/>
      <c r="CD361" s="12"/>
      <c r="CG361" s="12"/>
      <c r="CH361" s="12"/>
      <c r="CI361" s="17"/>
      <c r="CJ361" s="12"/>
      <c r="CK361" s="12"/>
      <c r="CN361" s="12"/>
      <c r="CO361" s="12"/>
      <c r="CT361"/>
      <c r="CV361" s="12"/>
      <c r="CW361" s="12"/>
      <c r="CZ361" s="12"/>
      <c r="DA361" s="12"/>
      <c r="DC361" s="12"/>
      <c r="DD361" s="12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X361" s="9"/>
      <c r="EY361" s="9"/>
      <c r="EZ361" s="9"/>
      <c r="FA361" s="15"/>
      <c r="FB361" s="14"/>
      <c r="FC361" s="10"/>
      <c r="FD361" s="10"/>
      <c r="FE361" s="10"/>
      <c r="FF361" s="10"/>
      <c r="FG361" s="10"/>
      <c r="FH361" s="10"/>
    </row>
    <row r="362" spans="2:164" x14ac:dyDescent="0.25">
      <c r="B362"/>
      <c r="C362"/>
      <c r="D362"/>
      <c r="E362"/>
      <c r="F362" s="16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 s="16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 s="12"/>
      <c r="AK362" s="12"/>
      <c r="AL362" s="17"/>
      <c r="AN362" s="17"/>
      <c r="AP362" s="17"/>
      <c r="AQ362" s="12"/>
      <c r="AR362" s="12"/>
      <c r="AT362" s="17"/>
      <c r="AU362" s="12"/>
      <c r="AV362" s="12"/>
      <c r="AW362" s="17"/>
      <c r="AX362" s="12"/>
      <c r="AY362" s="12"/>
      <c r="BA362" s="12"/>
      <c r="BB362" s="12"/>
      <c r="BD362" s="12"/>
      <c r="BE362" s="12"/>
      <c r="BG362" s="12"/>
      <c r="BH362" s="12"/>
      <c r="BJ362" s="12"/>
      <c r="BK362" s="12"/>
      <c r="BM362" s="12"/>
      <c r="BN362" s="12"/>
      <c r="BO362" s="17"/>
      <c r="BQ362" s="12"/>
      <c r="BR362" s="12"/>
      <c r="BS362" s="17"/>
      <c r="BT362" s="17"/>
      <c r="BU362" s="12"/>
      <c r="BV362" s="12"/>
      <c r="BY362" s="12"/>
      <c r="BZ362" s="12"/>
      <c r="CC362" s="12"/>
      <c r="CD362" s="12"/>
      <c r="CG362" s="12"/>
      <c r="CH362" s="12"/>
      <c r="CI362" s="17"/>
      <c r="CJ362" s="12"/>
      <c r="CK362" s="12"/>
      <c r="CN362" s="12"/>
      <c r="CO362" s="12"/>
      <c r="CT362"/>
      <c r="CV362" s="12"/>
      <c r="CW362" s="12"/>
      <c r="CZ362" s="12"/>
      <c r="DA362" s="12"/>
      <c r="DC362" s="12"/>
      <c r="DD362" s="12"/>
      <c r="DE362" s="17"/>
      <c r="DF362" s="17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X362" s="9"/>
      <c r="EY362" s="9"/>
      <c r="EZ362" s="9"/>
      <c r="FA362" s="15"/>
      <c r="FB362" s="14"/>
      <c r="FC362" s="10"/>
      <c r="FD362" s="10"/>
      <c r="FE362" s="10"/>
      <c r="FF362" s="10"/>
      <c r="FG362" s="10"/>
      <c r="FH362" s="10"/>
    </row>
    <row r="363" spans="2:164" x14ac:dyDescent="0.25">
      <c r="B363"/>
      <c r="C363"/>
      <c r="D363"/>
      <c r="E363"/>
      <c r="F363" s="16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 s="16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 s="12"/>
      <c r="AK363" s="12"/>
      <c r="AL363" s="17"/>
      <c r="AN363" s="17"/>
      <c r="AP363" s="17"/>
      <c r="AQ363" s="12"/>
      <c r="AR363" s="12"/>
      <c r="AT363" s="17"/>
      <c r="AU363" s="12"/>
      <c r="AV363" s="12"/>
      <c r="AW363" s="17"/>
      <c r="AX363" s="12"/>
      <c r="AY363" s="12"/>
      <c r="BA363" s="12"/>
      <c r="BB363" s="12"/>
      <c r="BD363" s="12"/>
      <c r="BE363" s="12"/>
      <c r="BG363" s="12"/>
      <c r="BH363" s="12"/>
      <c r="BJ363" s="12"/>
      <c r="BK363" s="12"/>
      <c r="BM363" s="12"/>
      <c r="BN363" s="12"/>
      <c r="BO363" s="17"/>
      <c r="BQ363" s="12"/>
      <c r="BR363" s="12"/>
      <c r="BU363" s="12"/>
      <c r="BV363" s="12"/>
      <c r="BY363" s="12"/>
      <c r="BZ363" s="12"/>
      <c r="CA363" s="17"/>
      <c r="CB363" s="17"/>
      <c r="CC363" s="12"/>
      <c r="CD363" s="12"/>
      <c r="CG363" s="12"/>
      <c r="CH363" s="12"/>
      <c r="CJ363" s="12"/>
      <c r="CK363" s="12"/>
      <c r="CN363" s="12"/>
      <c r="CO363" s="12"/>
      <c r="CT363"/>
      <c r="CV363" s="12"/>
      <c r="CW363" s="12"/>
      <c r="CZ363" s="12"/>
      <c r="DA363" s="12"/>
      <c r="DC363" s="12"/>
      <c r="DD363" s="12"/>
      <c r="DF363" s="17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X363" s="9"/>
      <c r="EY363" s="9"/>
      <c r="EZ363" s="9"/>
      <c r="FA363" s="15"/>
      <c r="FB363" s="14"/>
      <c r="FC363" s="10"/>
      <c r="FD363" s="10"/>
      <c r="FE363" s="10"/>
      <c r="FF363" s="10"/>
      <c r="FG363" s="10"/>
      <c r="FH363" s="10"/>
    </row>
    <row r="364" spans="2:164" x14ac:dyDescent="0.25">
      <c r="B364"/>
      <c r="C364"/>
      <c r="D364"/>
      <c r="E364"/>
      <c r="F364" s="16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s="16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 s="12"/>
      <c r="AK364" s="12"/>
      <c r="AL364" s="17"/>
      <c r="AN364" s="17"/>
      <c r="AP364" s="17"/>
      <c r="AQ364" s="12"/>
      <c r="AR364" s="12"/>
      <c r="AT364" s="17"/>
      <c r="AU364" s="12"/>
      <c r="AV364" s="12"/>
      <c r="AW364" s="17"/>
      <c r="AX364" s="12"/>
      <c r="AY364" s="12"/>
      <c r="BA364" s="12"/>
      <c r="BB364" s="12"/>
      <c r="BD364" s="12"/>
      <c r="BE364" s="12"/>
      <c r="BG364" s="12"/>
      <c r="BH364" s="12"/>
      <c r="BJ364" s="12"/>
      <c r="BK364" s="12"/>
      <c r="BM364" s="12"/>
      <c r="BN364" s="12"/>
      <c r="BO364" s="17"/>
      <c r="BQ364" s="12"/>
      <c r="BR364" s="12"/>
      <c r="BU364" s="12"/>
      <c r="BV364" s="12"/>
      <c r="BW364" s="17"/>
      <c r="BX364" s="17"/>
      <c r="BY364" s="12"/>
      <c r="BZ364" s="12"/>
      <c r="CC364" s="12"/>
      <c r="CD364" s="12"/>
      <c r="CG364" s="12"/>
      <c r="CH364" s="12"/>
      <c r="CI364" s="17"/>
      <c r="CJ364" s="12"/>
      <c r="CK364" s="12"/>
      <c r="CN364" s="12"/>
      <c r="CO364" s="12"/>
      <c r="CT364"/>
      <c r="CV364" s="12"/>
      <c r="CW364" s="12"/>
      <c r="CZ364" s="12"/>
      <c r="DA364" s="12"/>
      <c r="DC364" s="12"/>
      <c r="DD364" s="12"/>
      <c r="DF364" s="17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X364" s="9"/>
      <c r="EY364" s="9"/>
      <c r="EZ364" s="9"/>
      <c r="FA364" s="15"/>
      <c r="FB364" s="14"/>
      <c r="FC364" s="10"/>
      <c r="FD364" s="10"/>
      <c r="FE364" s="10"/>
      <c r="FF364" s="10"/>
      <c r="FG364" s="10"/>
      <c r="FH364" s="10"/>
    </row>
    <row r="365" spans="2:164" x14ac:dyDescent="0.25">
      <c r="B365"/>
      <c r="C365"/>
      <c r="D365"/>
      <c r="E365"/>
      <c r="F365" s="16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 s="16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 s="12"/>
      <c r="AK365" s="12"/>
      <c r="AL365" s="17"/>
      <c r="AN365" s="17"/>
      <c r="AP365" s="17"/>
      <c r="AQ365" s="12"/>
      <c r="AR365" s="12"/>
      <c r="AT365" s="17"/>
      <c r="AU365" s="12"/>
      <c r="AV365" s="12"/>
      <c r="AW365" s="17"/>
      <c r="AX365" s="12"/>
      <c r="AY365" s="12"/>
      <c r="BA365" s="12"/>
      <c r="BB365" s="12"/>
      <c r="BD365" s="12"/>
      <c r="BE365" s="12"/>
      <c r="BG365" s="12"/>
      <c r="BH365" s="12"/>
      <c r="BJ365" s="12"/>
      <c r="BK365" s="12"/>
      <c r="BM365" s="12"/>
      <c r="BN365" s="12"/>
      <c r="BO365" s="17"/>
      <c r="BQ365" s="12"/>
      <c r="BR365" s="12"/>
      <c r="BU365" s="12"/>
      <c r="BV365" s="12"/>
      <c r="BW365" s="17"/>
      <c r="BX365" s="17"/>
      <c r="BY365" s="12"/>
      <c r="BZ365" s="12"/>
      <c r="CC365" s="12"/>
      <c r="CD365" s="12"/>
      <c r="CG365" s="12"/>
      <c r="CH365" s="12"/>
      <c r="CJ365" s="12"/>
      <c r="CK365" s="12"/>
      <c r="CL365" s="17"/>
      <c r="CM365" s="17"/>
      <c r="CN365" s="12"/>
      <c r="CO365" s="12"/>
      <c r="CT365"/>
      <c r="CV365" s="12"/>
      <c r="CW365" s="12"/>
      <c r="CZ365" s="12"/>
      <c r="DA365" s="12"/>
      <c r="DC365" s="12"/>
      <c r="DD365" s="12"/>
      <c r="DF365" s="17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X365" s="9"/>
      <c r="EY365" s="9"/>
      <c r="EZ365" s="9"/>
      <c r="FA365" s="15"/>
      <c r="FB365" s="14"/>
      <c r="FC365" s="10"/>
      <c r="FD365" s="10"/>
      <c r="FE365" s="10"/>
      <c r="FF365" s="10"/>
      <c r="FG365" s="10"/>
      <c r="FH365" s="10"/>
    </row>
    <row r="366" spans="2:164" x14ac:dyDescent="0.25">
      <c r="B366"/>
      <c r="C366"/>
      <c r="D366"/>
      <c r="E366"/>
      <c r="F366" s="1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s="1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 s="12"/>
      <c r="AK366" s="12"/>
      <c r="AL366" s="17"/>
      <c r="AN366" s="17"/>
      <c r="AP366" s="17"/>
      <c r="AQ366" s="12"/>
      <c r="AR366" s="12"/>
      <c r="AT366" s="17"/>
      <c r="AU366" s="12"/>
      <c r="AV366" s="12"/>
      <c r="AW366" s="17"/>
      <c r="AX366" s="12"/>
      <c r="AY366" s="12"/>
      <c r="BA366" s="12"/>
      <c r="BB366" s="12"/>
      <c r="BD366" s="12"/>
      <c r="BE366" s="12"/>
      <c r="BG366" s="12"/>
      <c r="BH366" s="12"/>
      <c r="BJ366" s="12"/>
      <c r="BK366" s="12"/>
      <c r="BM366" s="12"/>
      <c r="BN366" s="12"/>
      <c r="BO366" s="17"/>
      <c r="BQ366" s="12"/>
      <c r="BR366" s="12"/>
      <c r="BU366" s="12"/>
      <c r="BV366" s="12"/>
      <c r="BW366" s="17"/>
      <c r="BX366" s="17"/>
      <c r="BY366" s="12"/>
      <c r="BZ366" s="12"/>
      <c r="CC366" s="12"/>
      <c r="CD366" s="12"/>
      <c r="CG366" s="12"/>
      <c r="CH366" s="12"/>
      <c r="CI366" s="17"/>
      <c r="CJ366" s="12"/>
      <c r="CK366" s="12"/>
      <c r="CN366" s="12"/>
      <c r="CO366" s="12"/>
      <c r="CT366"/>
      <c r="CV366" s="12"/>
      <c r="CW366" s="12"/>
      <c r="CZ366" s="12"/>
      <c r="DA366" s="12"/>
      <c r="DC366" s="12"/>
      <c r="DD366" s="12"/>
      <c r="DE366" s="17"/>
      <c r="DF366" s="17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X366" s="9"/>
      <c r="EY366" s="9"/>
      <c r="EZ366" s="9"/>
      <c r="FA366" s="15"/>
      <c r="FB366" s="14"/>
      <c r="FC366" s="10"/>
      <c r="FD366" s="10"/>
      <c r="FE366" s="10"/>
      <c r="FF366" s="10"/>
      <c r="FG366" s="10"/>
      <c r="FH366" s="10"/>
    </row>
    <row r="367" spans="2:164" x14ac:dyDescent="0.25">
      <c r="B367"/>
      <c r="C367"/>
      <c r="D367"/>
      <c r="E367"/>
      <c r="F367" s="16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 s="16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 s="12"/>
      <c r="AK367" s="12"/>
      <c r="AL367" s="17"/>
      <c r="AN367" s="17"/>
      <c r="AP367" s="17"/>
      <c r="AQ367" s="12"/>
      <c r="AR367" s="12"/>
      <c r="AT367" s="17"/>
      <c r="AU367" s="12"/>
      <c r="AV367" s="12"/>
      <c r="AW367" s="17"/>
      <c r="AX367" s="12"/>
      <c r="AY367" s="12"/>
      <c r="BA367" s="12"/>
      <c r="BB367" s="12"/>
      <c r="BD367" s="12"/>
      <c r="BE367" s="12"/>
      <c r="BG367" s="12"/>
      <c r="BH367" s="12"/>
      <c r="BJ367" s="12"/>
      <c r="BK367" s="12"/>
      <c r="BM367" s="12"/>
      <c r="BN367" s="12"/>
      <c r="BO367" s="17"/>
      <c r="BQ367" s="12"/>
      <c r="BR367" s="12"/>
      <c r="BU367" s="12"/>
      <c r="BV367" s="12"/>
      <c r="BY367" s="12"/>
      <c r="BZ367" s="12"/>
      <c r="CA367" s="17"/>
      <c r="CB367" s="17"/>
      <c r="CC367" s="12"/>
      <c r="CD367" s="12"/>
      <c r="CG367" s="12"/>
      <c r="CH367" s="12"/>
      <c r="CJ367" s="12"/>
      <c r="CK367" s="12"/>
      <c r="CN367" s="12"/>
      <c r="CO367" s="12"/>
      <c r="CT367"/>
      <c r="CV367" s="12"/>
      <c r="CW367" s="12"/>
      <c r="CZ367" s="12"/>
      <c r="DA367" s="12"/>
      <c r="DC367" s="12"/>
      <c r="DD367" s="12"/>
      <c r="DE367" s="17"/>
      <c r="DF367" s="1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X367" s="9"/>
      <c r="EY367" s="9"/>
      <c r="EZ367" s="9"/>
      <c r="FA367" s="15"/>
      <c r="FB367" s="14"/>
      <c r="FC367" s="10"/>
      <c r="FD367" s="10"/>
      <c r="FE367" s="10"/>
      <c r="FF367" s="10"/>
      <c r="FG367" s="10"/>
      <c r="FH367" s="10"/>
    </row>
    <row r="368" spans="2:164" x14ac:dyDescent="0.25">
      <c r="B368"/>
      <c r="C368"/>
      <c r="D368"/>
      <c r="E368"/>
      <c r="F368" s="16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s="16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 s="12"/>
      <c r="AK368" s="12"/>
      <c r="AL368" s="17"/>
      <c r="AN368" s="17"/>
      <c r="AP368" s="17"/>
      <c r="AQ368" s="12"/>
      <c r="AR368" s="12"/>
      <c r="AT368" s="17"/>
      <c r="AU368" s="12"/>
      <c r="AV368" s="12"/>
      <c r="AW368" s="17"/>
      <c r="AX368" s="12"/>
      <c r="AY368" s="12"/>
      <c r="BA368" s="12"/>
      <c r="BB368" s="12"/>
      <c r="BD368" s="12"/>
      <c r="BE368" s="12"/>
      <c r="BG368" s="12"/>
      <c r="BH368" s="12"/>
      <c r="BJ368" s="12"/>
      <c r="BK368" s="12"/>
      <c r="BM368" s="12"/>
      <c r="BN368" s="12"/>
      <c r="BO368" s="17"/>
      <c r="BQ368" s="12"/>
      <c r="BR368" s="12"/>
      <c r="BU368" s="12"/>
      <c r="BV368" s="12"/>
      <c r="BY368" s="12"/>
      <c r="BZ368" s="12"/>
      <c r="CC368" s="12"/>
      <c r="CD368" s="12"/>
      <c r="CG368" s="12"/>
      <c r="CH368" s="12"/>
      <c r="CJ368" s="12"/>
      <c r="CK368" s="12"/>
      <c r="CN368" s="12"/>
      <c r="CO368" s="12"/>
      <c r="CT368"/>
      <c r="CV368" s="12"/>
      <c r="CW368" s="12"/>
      <c r="CZ368" s="12"/>
      <c r="DA368" s="12"/>
      <c r="DC368" s="12"/>
      <c r="DD368" s="12"/>
      <c r="DE368" s="17"/>
      <c r="DF368" s="17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X368" s="9"/>
      <c r="EY368" s="9"/>
      <c r="EZ368" s="9"/>
      <c r="FA368" s="15"/>
      <c r="FB368" s="14"/>
      <c r="FC368" s="10"/>
      <c r="FD368" s="10"/>
      <c r="FE368" s="10"/>
      <c r="FF368" s="10"/>
      <c r="FG368" s="10"/>
      <c r="FH368" s="10"/>
    </row>
    <row r="369" spans="2:164" x14ac:dyDescent="0.25">
      <c r="B369"/>
      <c r="C369"/>
      <c r="D369"/>
      <c r="E369"/>
      <c r="F369" s="16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s="16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 s="12"/>
      <c r="AK369" s="12"/>
      <c r="AL369" s="17"/>
      <c r="AN369" s="17"/>
      <c r="AP369" s="17"/>
      <c r="AQ369" s="12"/>
      <c r="AR369" s="12"/>
      <c r="AT369" s="17"/>
      <c r="AU369" s="12"/>
      <c r="AV369" s="12"/>
      <c r="AW369" s="17"/>
      <c r="AX369" s="12"/>
      <c r="AY369" s="12"/>
      <c r="BA369" s="12"/>
      <c r="BB369" s="12"/>
      <c r="BD369" s="12"/>
      <c r="BE369" s="12"/>
      <c r="BG369" s="12"/>
      <c r="BH369" s="12"/>
      <c r="BJ369" s="12"/>
      <c r="BK369" s="12"/>
      <c r="BM369" s="12"/>
      <c r="BN369" s="12"/>
      <c r="BO369" s="17"/>
      <c r="BQ369" s="12"/>
      <c r="BR369" s="12"/>
      <c r="BU369" s="12"/>
      <c r="BV369" s="12"/>
      <c r="BW369" s="17"/>
      <c r="BX369" s="17"/>
      <c r="BY369" s="12"/>
      <c r="BZ369" s="12"/>
      <c r="CC369" s="12"/>
      <c r="CD369" s="12"/>
      <c r="CG369" s="12"/>
      <c r="CH369" s="12"/>
      <c r="CJ369" s="12"/>
      <c r="CK369" s="12"/>
      <c r="CL369" s="17"/>
      <c r="CM369" s="17"/>
      <c r="CN369" s="12"/>
      <c r="CO369" s="12"/>
      <c r="CT369"/>
      <c r="CV369" s="12"/>
      <c r="CW369" s="12"/>
      <c r="CZ369" s="12"/>
      <c r="DA369" s="12"/>
      <c r="DC369" s="12"/>
      <c r="DD369" s="12"/>
      <c r="DF369" s="17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X369" s="9"/>
      <c r="EY369" s="9"/>
      <c r="EZ369" s="9"/>
      <c r="FA369" s="15"/>
      <c r="FB369" s="14"/>
      <c r="FC369" s="10"/>
      <c r="FD369" s="10"/>
      <c r="FE369" s="10"/>
      <c r="FF369" s="10"/>
      <c r="FG369" s="10"/>
      <c r="FH369" s="10"/>
    </row>
    <row r="370" spans="2:164" x14ac:dyDescent="0.25">
      <c r="B370"/>
      <c r="C370"/>
      <c r="D370"/>
      <c r="E370"/>
      <c r="F370" s="16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s="16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 s="12"/>
      <c r="AK370" s="12"/>
      <c r="AL370" s="17"/>
      <c r="AN370" s="17"/>
      <c r="AP370" s="17"/>
      <c r="AQ370" s="12"/>
      <c r="AR370" s="12"/>
      <c r="AT370" s="17"/>
      <c r="AU370" s="12"/>
      <c r="AV370" s="12"/>
      <c r="AW370" s="17"/>
      <c r="AX370" s="12"/>
      <c r="AY370" s="12"/>
      <c r="BA370" s="12"/>
      <c r="BB370" s="12"/>
      <c r="BD370" s="12"/>
      <c r="BE370" s="12"/>
      <c r="BG370" s="12"/>
      <c r="BH370" s="12"/>
      <c r="BJ370" s="12"/>
      <c r="BK370" s="12"/>
      <c r="BM370" s="12"/>
      <c r="BN370" s="12"/>
      <c r="BO370" s="17"/>
      <c r="BQ370" s="12"/>
      <c r="BR370" s="12"/>
      <c r="BU370" s="12"/>
      <c r="BV370" s="12"/>
      <c r="BY370" s="12"/>
      <c r="BZ370" s="12"/>
      <c r="CC370" s="12"/>
      <c r="CD370" s="12"/>
      <c r="CG370" s="12"/>
      <c r="CH370" s="12"/>
      <c r="CJ370" s="12"/>
      <c r="CK370" s="12"/>
      <c r="CN370" s="12"/>
      <c r="CO370" s="12"/>
      <c r="CT370"/>
      <c r="CV370" s="12"/>
      <c r="CW370" s="12"/>
      <c r="CZ370" s="12"/>
      <c r="DA370" s="12"/>
      <c r="DC370" s="12"/>
      <c r="DD370" s="12"/>
      <c r="DE370" s="17"/>
      <c r="DF370" s="17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X370" s="9"/>
      <c r="EY370" s="9"/>
      <c r="EZ370" s="9"/>
      <c r="FA370" s="15"/>
      <c r="FB370" s="14"/>
      <c r="FC370" s="10"/>
      <c r="FD370" s="10"/>
      <c r="FE370" s="10"/>
      <c r="FF370" s="10"/>
      <c r="FG370" s="10"/>
      <c r="FH370" s="10"/>
    </row>
    <row r="371" spans="2:164" x14ac:dyDescent="0.25">
      <c r="B371"/>
      <c r="C371"/>
      <c r="D371"/>
      <c r="E371"/>
      <c r="F371" s="16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s="16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 s="12"/>
      <c r="AK371" s="12"/>
      <c r="AL371" s="17"/>
      <c r="AN371" s="17"/>
      <c r="AP371" s="17"/>
      <c r="AQ371" s="12"/>
      <c r="AR371" s="12"/>
      <c r="AT371" s="17"/>
      <c r="AU371" s="12"/>
      <c r="AV371" s="12"/>
      <c r="AW371" s="17"/>
      <c r="AX371" s="12"/>
      <c r="AY371" s="12"/>
      <c r="BA371" s="12"/>
      <c r="BB371" s="12"/>
      <c r="BD371" s="12"/>
      <c r="BE371" s="12"/>
      <c r="BG371" s="12"/>
      <c r="BH371" s="12"/>
      <c r="BJ371" s="12"/>
      <c r="BK371" s="12"/>
      <c r="BM371" s="12"/>
      <c r="BN371" s="12"/>
      <c r="BO371" s="17"/>
      <c r="BQ371" s="12"/>
      <c r="BR371" s="12"/>
      <c r="BU371" s="12"/>
      <c r="BV371" s="12"/>
      <c r="BY371" s="12"/>
      <c r="BZ371" s="12"/>
      <c r="CA371" s="17"/>
      <c r="CB371" s="17"/>
      <c r="CC371" s="12"/>
      <c r="CD371" s="12"/>
      <c r="CG371" s="12"/>
      <c r="CH371" s="12"/>
      <c r="CJ371" s="12"/>
      <c r="CK371" s="12"/>
      <c r="CN371" s="12"/>
      <c r="CO371" s="12"/>
      <c r="CT371"/>
      <c r="CV371" s="12"/>
      <c r="CW371" s="12"/>
      <c r="CZ371" s="12"/>
      <c r="DA371" s="12"/>
      <c r="DC371" s="12"/>
      <c r="DD371" s="12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X371" s="9"/>
      <c r="EY371" s="9"/>
      <c r="EZ371" s="9"/>
      <c r="FA371" s="15"/>
      <c r="FB371" s="14"/>
      <c r="FC371" s="10"/>
      <c r="FD371" s="10"/>
      <c r="FE371" s="10"/>
      <c r="FF371" s="10"/>
      <c r="FG371" s="10"/>
      <c r="FH371" s="10"/>
    </row>
    <row r="372" spans="2:164" x14ac:dyDescent="0.25">
      <c r="B372"/>
      <c r="C372"/>
      <c r="D372"/>
      <c r="E372"/>
      <c r="F372" s="16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s="16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 s="12"/>
      <c r="AK372" s="12"/>
      <c r="AL372" s="17"/>
      <c r="AN372" s="17"/>
      <c r="AP372" s="17"/>
      <c r="AQ372" s="12"/>
      <c r="AR372" s="12"/>
      <c r="AT372" s="17"/>
      <c r="AU372" s="12"/>
      <c r="AV372" s="12"/>
      <c r="AW372" s="17"/>
      <c r="AX372" s="12"/>
      <c r="AY372" s="12"/>
      <c r="BA372" s="12"/>
      <c r="BB372" s="12"/>
      <c r="BD372" s="12"/>
      <c r="BE372" s="12"/>
      <c r="BG372" s="12"/>
      <c r="BH372" s="12"/>
      <c r="BJ372" s="12"/>
      <c r="BK372" s="12"/>
      <c r="BM372" s="12"/>
      <c r="BN372" s="12"/>
      <c r="BO372" s="17"/>
      <c r="BQ372" s="12"/>
      <c r="BR372" s="12"/>
      <c r="BU372" s="12"/>
      <c r="BV372" s="12"/>
      <c r="BW372" s="17"/>
      <c r="BX372" s="17"/>
      <c r="BY372" s="12"/>
      <c r="BZ372" s="12"/>
      <c r="CC372" s="12"/>
      <c r="CD372" s="12"/>
      <c r="CG372" s="12"/>
      <c r="CH372" s="12"/>
      <c r="CI372" s="17"/>
      <c r="CJ372" s="12"/>
      <c r="CK372" s="12"/>
      <c r="CN372" s="12"/>
      <c r="CO372" s="12"/>
      <c r="CT372"/>
      <c r="CV372" s="12"/>
      <c r="CW372" s="12"/>
      <c r="CZ372" s="12"/>
      <c r="DA372" s="12"/>
      <c r="DC372" s="12"/>
      <c r="DD372" s="1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X372" s="9"/>
      <c r="EY372" s="9"/>
      <c r="EZ372" s="9"/>
      <c r="FA372" s="15"/>
      <c r="FB372" s="14"/>
      <c r="FC372" s="10"/>
      <c r="FD372" s="10"/>
      <c r="FE372" s="10"/>
      <c r="FF372" s="10"/>
      <c r="FG372" s="10"/>
      <c r="FH372" s="10"/>
    </row>
    <row r="373" spans="2:164" x14ac:dyDescent="0.25">
      <c r="B373"/>
      <c r="C373"/>
      <c r="D373"/>
      <c r="E373"/>
      <c r="F373" s="16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s="16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 s="12"/>
      <c r="AK373" s="12"/>
      <c r="AL373" s="17"/>
      <c r="AN373" s="17"/>
      <c r="AP373" s="17"/>
      <c r="AQ373" s="12"/>
      <c r="AR373" s="12"/>
      <c r="AT373" s="17"/>
      <c r="AU373" s="12"/>
      <c r="AV373" s="12"/>
      <c r="AW373" s="17"/>
      <c r="AX373" s="12"/>
      <c r="AY373" s="12"/>
      <c r="BA373" s="12"/>
      <c r="BB373" s="12"/>
      <c r="BD373" s="12"/>
      <c r="BE373" s="12"/>
      <c r="BG373" s="12"/>
      <c r="BH373" s="12"/>
      <c r="BJ373" s="12"/>
      <c r="BK373" s="12"/>
      <c r="BM373" s="12"/>
      <c r="BN373" s="12"/>
      <c r="BO373" s="17"/>
      <c r="BQ373" s="12"/>
      <c r="BR373" s="12"/>
      <c r="BS373" s="17"/>
      <c r="BT373" s="17"/>
      <c r="BU373" s="12"/>
      <c r="BV373" s="12"/>
      <c r="BY373" s="12"/>
      <c r="BZ373" s="12"/>
      <c r="CC373" s="12"/>
      <c r="CD373" s="12"/>
      <c r="CG373" s="12"/>
      <c r="CH373" s="12"/>
      <c r="CI373" s="17"/>
      <c r="CJ373" s="12"/>
      <c r="CK373" s="12"/>
      <c r="CN373" s="12"/>
      <c r="CO373" s="12"/>
      <c r="CT373"/>
      <c r="CV373" s="12"/>
      <c r="CW373" s="12"/>
      <c r="CZ373" s="12"/>
      <c r="DA373" s="12"/>
      <c r="DC373" s="12"/>
      <c r="DD373" s="12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X373" s="9"/>
      <c r="EY373" s="9"/>
      <c r="EZ373" s="9"/>
      <c r="FA373" s="15"/>
      <c r="FB373" s="14"/>
      <c r="FC373" s="10"/>
      <c r="FD373" s="10"/>
      <c r="FE373" s="10"/>
      <c r="FF373" s="10"/>
      <c r="FG373" s="10"/>
      <c r="FH373" s="10"/>
    </row>
    <row r="374" spans="2:164" x14ac:dyDescent="0.25">
      <c r="B374"/>
      <c r="C374"/>
      <c r="D374"/>
      <c r="E374"/>
      <c r="F374" s="16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s="16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 s="12"/>
      <c r="AK374" s="12"/>
      <c r="AL374" s="17"/>
      <c r="AN374" s="17"/>
      <c r="AP374" s="17"/>
      <c r="AQ374" s="12"/>
      <c r="AR374" s="12"/>
      <c r="AT374" s="17"/>
      <c r="AU374" s="12"/>
      <c r="AV374" s="12"/>
      <c r="AW374" s="17"/>
      <c r="AX374" s="12"/>
      <c r="AY374" s="12"/>
      <c r="BA374" s="12"/>
      <c r="BB374" s="12"/>
      <c r="BD374" s="12"/>
      <c r="BE374" s="12"/>
      <c r="BG374" s="12"/>
      <c r="BH374" s="12"/>
      <c r="BJ374" s="12"/>
      <c r="BK374" s="12"/>
      <c r="BM374" s="12"/>
      <c r="BN374" s="12"/>
      <c r="BO374" s="17"/>
      <c r="BQ374" s="12"/>
      <c r="BR374" s="12"/>
      <c r="BU374" s="12"/>
      <c r="BV374" s="12"/>
      <c r="BW374" s="17"/>
      <c r="BX374" s="17"/>
      <c r="BY374" s="12"/>
      <c r="BZ374" s="12"/>
      <c r="CC374" s="12"/>
      <c r="CD374" s="12"/>
      <c r="CG374" s="12"/>
      <c r="CH374" s="12"/>
      <c r="CI374" s="17"/>
      <c r="CJ374" s="12"/>
      <c r="CK374" s="12"/>
      <c r="CN374" s="12"/>
      <c r="CO374" s="12"/>
      <c r="CT374"/>
      <c r="CV374" s="12"/>
      <c r="CW374" s="12"/>
      <c r="CZ374" s="12"/>
      <c r="DA374" s="12"/>
      <c r="DC374" s="12"/>
      <c r="DD374" s="12"/>
      <c r="DE374" s="17"/>
      <c r="DF374" s="17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X374" s="9"/>
      <c r="EY374" s="9"/>
      <c r="EZ374" s="9"/>
      <c r="FA374" s="15"/>
      <c r="FB374" s="14"/>
      <c r="FC374" s="10"/>
      <c r="FD374" s="10"/>
      <c r="FE374" s="10"/>
      <c r="FF374" s="10"/>
      <c r="FG374" s="10"/>
      <c r="FH374" s="10"/>
    </row>
    <row r="375" spans="2:164" x14ac:dyDescent="0.25">
      <c r="B375"/>
      <c r="C375"/>
      <c r="D375"/>
      <c r="E375"/>
      <c r="F375" s="16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s="16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 s="12"/>
      <c r="AK375" s="12"/>
      <c r="AL375" s="17"/>
      <c r="AN375" s="17"/>
      <c r="AP375" s="17"/>
      <c r="AQ375" s="12"/>
      <c r="AR375" s="12"/>
      <c r="AT375" s="17"/>
      <c r="AU375" s="12"/>
      <c r="AV375" s="12"/>
      <c r="AW375" s="17"/>
      <c r="AX375" s="12"/>
      <c r="AY375" s="12"/>
      <c r="BA375" s="12"/>
      <c r="BB375" s="12"/>
      <c r="BD375" s="12"/>
      <c r="BE375" s="12"/>
      <c r="BG375" s="12"/>
      <c r="BH375" s="12"/>
      <c r="BJ375" s="12"/>
      <c r="BK375" s="12"/>
      <c r="BM375" s="12"/>
      <c r="BN375" s="12"/>
      <c r="BO375" s="17"/>
      <c r="BQ375" s="12"/>
      <c r="BR375" s="12"/>
      <c r="BU375" s="12"/>
      <c r="BV375" s="12"/>
      <c r="BW375" s="17"/>
      <c r="BX375" s="17"/>
      <c r="BY375" s="12"/>
      <c r="BZ375" s="12"/>
      <c r="CC375" s="12"/>
      <c r="CD375" s="12"/>
      <c r="CG375" s="12"/>
      <c r="CH375" s="12"/>
      <c r="CI375" s="17"/>
      <c r="CJ375" s="12"/>
      <c r="CK375" s="12"/>
      <c r="CN375" s="12"/>
      <c r="CO375" s="12"/>
      <c r="CT375"/>
      <c r="CV375" s="12"/>
      <c r="CW375" s="12"/>
      <c r="CZ375" s="12"/>
      <c r="DA375" s="12"/>
      <c r="DC375" s="12"/>
      <c r="DD375" s="12"/>
      <c r="DE375" s="17"/>
      <c r="DF375" s="17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X375" s="9"/>
      <c r="EY375" s="9"/>
      <c r="EZ375" s="9"/>
      <c r="FA375" s="15"/>
      <c r="FB375" s="14"/>
      <c r="FC375" s="10"/>
      <c r="FD375" s="10"/>
      <c r="FE375" s="10"/>
      <c r="FF375" s="10"/>
      <c r="FG375" s="10"/>
      <c r="FH375" s="10"/>
    </row>
    <row r="376" spans="2:164" x14ac:dyDescent="0.25">
      <c r="B376"/>
      <c r="C376"/>
      <c r="D376"/>
      <c r="E376"/>
      <c r="F376" s="1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s="1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 s="12"/>
      <c r="AK376" s="12"/>
      <c r="AL376" s="17"/>
      <c r="AN376" s="17"/>
      <c r="AP376" s="17"/>
      <c r="AQ376" s="12"/>
      <c r="AR376" s="12"/>
      <c r="AT376" s="17"/>
      <c r="AU376" s="12"/>
      <c r="AV376" s="12"/>
      <c r="AW376" s="17"/>
      <c r="AX376" s="12"/>
      <c r="AY376" s="12"/>
      <c r="BA376" s="12"/>
      <c r="BB376" s="12"/>
      <c r="BD376" s="12"/>
      <c r="BE376" s="12"/>
      <c r="BG376" s="12"/>
      <c r="BH376" s="12"/>
      <c r="BJ376" s="12"/>
      <c r="BK376" s="12"/>
      <c r="BM376" s="12"/>
      <c r="BN376" s="12"/>
      <c r="BO376" s="17"/>
      <c r="BQ376" s="12"/>
      <c r="BR376" s="12"/>
      <c r="BU376" s="12"/>
      <c r="BV376" s="12"/>
      <c r="BW376" s="17"/>
      <c r="BX376" s="17"/>
      <c r="BY376" s="12"/>
      <c r="BZ376" s="12"/>
      <c r="CC376" s="12"/>
      <c r="CD376" s="12"/>
      <c r="CG376" s="12"/>
      <c r="CH376" s="12"/>
      <c r="CI376" s="17"/>
      <c r="CJ376" s="12"/>
      <c r="CK376" s="12"/>
      <c r="CN376" s="12"/>
      <c r="CO376" s="12"/>
      <c r="CT376"/>
      <c r="CV376" s="12"/>
      <c r="CW376" s="12"/>
      <c r="CZ376" s="12"/>
      <c r="DA376" s="12"/>
      <c r="DC376" s="12"/>
      <c r="DD376" s="12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X376" s="9"/>
      <c r="EY376" s="9"/>
      <c r="EZ376" s="9"/>
      <c r="FA376" s="15"/>
      <c r="FB376" s="14"/>
      <c r="FC376" s="10"/>
      <c r="FD376" s="10"/>
      <c r="FE376" s="10"/>
      <c r="FF376" s="10"/>
      <c r="FG376" s="10"/>
      <c r="FH376" s="10"/>
    </row>
    <row r="377" spans="2:164" x14ac:dyDescent="0.25">
      <c r="B377"/>
      <c r="C377"/>
      <c r="D377"/>
      <c r="E377"/>
      <c r="F377" s="16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s="16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 s="12"/>
      <c r="AK377" s="12"/>
      <c r="AL377" s="17"/>
      <c r="AN377" s="17"/>
      <c r="AP377" s="17"/>
      <c r="AQ377" s="12"/>
      <c r="AR377" s="12"/>
      <c r="AT377" s="17"/>
      <c r="AU377" s="12"/>
      <c r="AV377" s="12"/>
      <c r="AW377" s="17"/>
      <c r="AX377" s="12"/>
      <c r="AY377" s="12"/>
      <c r="BA377" s="12"/>
      <c r="BB377" s="12"/>
      <c r="BD377" s="12"/>
      <c r="BE377" s="12"/>
      <c r="BG377" s="12"/>
      <c r="BH377" s="12"/>
      <c r="BJ377" s="12"/>
      <c r="BK377" s="12"/>
      <c r="BM377" s="12"/>
      <c r="BN377" s="12"/>
      <c r="BO377" s="17"/>
      <c r="BQ377" s="12"/>
      <c r="BR377" s="12"/>
      <c r="BU377" s="12"/>
      <c r="BV377" s="12"/>
      <c r="BY377" s="12"/>
      <c r="BZ377" s="12"/>
      <c r="CA377" s="17"/>
      <c r="CB377" s="17"/>
      <c r="CC377" s="12"/>
      <c r="CD377" s="12"/>
      <c r="CG377" s="12"/>
      <c r="CH377" s="12"/>
      <c r="CJ377" s="12"/>
      <c r="CK377" s="12"/>
      <c r="CN377" s="12"/>
      <c r="CO377" s="12"/>
      <c r="CT377"/>
      <c r="CV377" s="12"/>
      <c r="CW377" s="12"/>
      <c r="CZ377" s="12"/>
      <c r="DA377" s="12"/>
      <c r="DC377" s="12"/>
      <c r="DD377" s="12"/>
      <c r="DE377" s="17"/>
      <c r="DF377" s="1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X377" s="9"/>
      <c r="EY377" s="9"/>
      <c r="EZ377" s="9"/>
      <c r="FA377" s="15"/>
      <c r="FB377" s="14"/>
      <c r="FC377" s="10"/>
      <c r="FD377" s="10"/>
      <c r="FE377" s="10"/>
      <c r="FF377" s="10"/>
      <c r="FG377" s="10"/>
      <c r="FH377" s="10"/>
    </row>
    <row r="378" spans="2:164" x14ac:dyDescent="0.25">
      <c r="B378"/>
      <c r="C378"/>
      <c r="D378"/>
      <c r="E378"/>
      <c r="F378" s="16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s="16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 s="12"/>
      <c r="AK378" s="12"/>
      <c r="AL378" s="17"/>
      <c r="AN378" s="17"/>
      <c r="AP378" s="17"/>
      <c r="AQ378" s="12"/>
      <c r="AR378" s="12"/>
      <c r="AT378" s="17"/>
      <c r="AU378" s="12"/>
      <c r="AV378" s="12"/>
      <c r="AW378" s="17"/>
      <c r="AX378" s="12"/>
      <c r="AY378" s="12"/>
      <c r="BA378" s="12"/>
      <c r="BB378" s="12"/>
      <c r="BD378" s="12"/>
      <c r="BE378" s="12"/>
      <c r="BG378" s="12"/>
      <c r="BH378" s="12"/>
      <c r="BJ378" s="12"/>
      <c r="BK378" s="12"/>
      <c r="BM378" s="12"/>
      <c r="BN378" s="12"/>
      <c r="BO378" s="17"/>
      <c r="BQ378" s="12"/>
      <c r="BR378" s="12"/>
      <c r="BS378" s="17"/>
      <c r="BT378" s="17"/>
      <c r="BU378" s="12"/>
      <c r="BV378" s="12"/>
      <c r="BY378" s="12"/>
      <c r="BZ378" s="12"/>
      <c r="CC378" s="12"/>
      <c r="CD378" s="12"/>
      <c r="CG378" s="12"/>
      <c r="CH378" s="12"/>
      <c r="CJ378" s="12"/>
      <c r="CK378" s="12"/>
      <c r="CN378" s="12"/>
      <c r="CO378" s="12"/>
      <c r="CT378"/>
      <c r="CV378" s="12"/>
      <c r="CW378" s="12"/>
      <c r="CZ378" s="12"/>
      <c r="DA378" s="12"/>
      <c r="DC378" s="12"/>
      <c r="DD378" s="12"/>
      <c r="DF378" s="17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X378" s="9"/>
      <c r="EY378" s="9"/>
      <c r="EZ378" s="9"/>
      <c r="FA378" s="15"/>
      <c r="FB378" s="14"/>
      <c r="FC378" s="10"/>
      <c r="FD378" s="10"/>
      <c r="FE378" s="10"/>
      <c r="FF378" s="10"/>
      <c r="FG378" s="10"/>
      <c r="FH378" s="10"/>
    </row>
    <row r="379" spans="2:164" x14ac:dyDescent="0.25">
      <c r="B379"/>
      <c r="C379"/>
      <c r="D379"/>
      <c r="E379"/>
      <c r="F379" s="16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s="16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 s="12"/>
      <c r="AK379" s="12"/>
      <c r="AL379" s="17"/>
      <c r="AN379" s="17"/>
      <c r="AP379" s="17"/>
      <c r="AQ379" s="12"/>
      <c r="AR379" s="12"/>
      <c r="AT379" s="17"/>
      <c r="AU379" s="12"/>
      <c r="AV379" s="12"/>
      <c r="AW379" s="17"/>
      <c r="AX379" s="12"/>
      <c r="AY379" s="12"/>
      <c r="AZ379" s="17"/>
      <c r="BA379" s="12"/>
      <c r="BB379" s="12"/>
      <c r="BD379" s="12"/>
      <c r="BE379" s="12"/>
      <c r="BG379" s="12"/>
      <c r="BH379" s="12"/>
      <c r="BJ379" s="12"/>
      <c r="BK379" s="12"/>
      <c r="BM379" s="12"/>
      <c r="BN379" s="12"/>
      <c r="BO379" s="17"/>
      <c r="BQ379" s="12"/>
      <c r="BR379" s="12"/>
      <c r="BU379" s="12"/>
      <c r="BV379" s="12"/>
      <c r="BW379" s="17"/>
      <c r="BX379" s="17"/>
      <c r="BY379" s="12"/>
      <c r="BZ379" s="12"/>
      <c r="CC379" s="12"/>
      <c r="CD379" s="12"/>
      <c r="CG379" s="12"/>
      <c r="CH379" s="12"/>
      <c r="CI379" s="17"/>
      <c r="CJ379" s="12"/>
      <c r="CK379" s="12"/>
      <c r="CN379" s="12"/>
      <c r="CO379" s="12"/>
      <c r="CT379"/>
      <c r="CV379" s="12"/>
      <c r="CW379" s="12"/>
      <c r="CZ379" s="12"/>
      <c r="DA379" s="12"/>
      <c r="DC379" s="12"/>
      <c r="DD379" s="12"/>
      <c r="DE379" s="17"/>
      <c r="DF379" s="17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X379" s="9"/>
      <c r="EY379" s="9"/>
      <c r="EZ379" s="9"/>
      <c r="FA379" s="15"/>
      <c r="FB379" s="14"/>
      <c r="FC379" s="10"/>
      <c r="FD379" s="10"/>
      <c r="FE379" s="10"/>
      <c r="FF379" s="10"/>
      <c r="FG379" s="10"/>
      <c r="FH379" s="10"/>
    </row>
    <row r="380" spans="2:164" x14ac:dyDescent="0.25">
      <c r="B380"/>
      <c r="C380"/>
      <c r="D380"/>
      <c r="E380"/>
      <c r="F380" s="16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s="16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 s="12"/>
      <c r="AK380" s="12"/>
      <c r="AL380" s="17"/>
      <c r="AN380" s="17"/>
      <c r="AP380" s="17"/>
      <c r="AQ380" s="12"/>
      <c r="AR380" s="12"/>
      <c r="AT380" s="17"/>
      <c r="AU380" s="12"/>
      <c r="AV380" s="12"/>
      <c r="AW380" s="17"/>
      <c r="AX380" s="12"/>
      <c r="AY380" s="12"/>
      <c r="BA380" s="12"/>
      <c r="BB380" s="12"/>
      <c r="BD380" s="12"/>
      <c r="BE380" s="12"/>
      <c r="BG380" s="12"/>
      <c r="BH380" s="12"/>
      <c r="BJ380" s="12"/>
      <c r="BK380" s="12"/>
      <c r="BM380" s="12"/>
      <c r="BN380" s="12"/>
      <c r="BO380" s="17"/>
      <c r="BQ380" s="12"/>
      <c r="BR380" s="12"/>
      <c r="BU380" s="12"/>
      <c r="BV380" s="12"/>
      <c r="BY380" s="12"/>
      <c r="BZ380" s="12"/>
      <c r="CC380" s="12"/>
      <c r="CD380" s="12"/>
      <c r="CG380" s="12"/>
      <c r="CH380" s="12"/>
      <c r="CI380" s="17"/>
      <c r="CJ380" s="12"/>
      <c r="CK380" s="12"/>
      <c r="CN380" s="12"/>
      <c r="CO380" s="12"/>
      <c r="CT380"/>
      <c r="CV380" s="12"/>
      <c r="CW380" s="12"/>
      <c r="CZ380" s="12"/>
      <c r="DA380" s="12"/>
      <c r="DC380" s="12"/>
      <c r="DD380" s="12"/>
      <c r="DF380" s="17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X380" s="9"/>
      <c r="EY380" s="9"/>
      <c r="EZ380" s="9"/>
      <c r="FA380" s="15"/>
      <c r="FB380" s="14"/>
      <c r="FC380" s="10"/>
      <c r="FD380" s="10"/>
      <c r="FE380" s="10"/>
      <c r="FF380" s="10"/>
      <c r="FG380" s="10"/>
      <c r="FH380" s="10"/>
    </row>
    <row r="381" spans="2:164" x14ac:dyDescent="0.25">
      <c r="B381"/>
      <c r="C381"/>
      <c r="D381"/>
      <c r="E381"/>
      <c r="F381" s="16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 s="16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 s="12"/>
      <c r="AK381" s="12"/>
      <c r="AL381" s="17"/>
      <c r="AN381" s="17"/>
      <c r="AP381" s="17"/>
      <c r="AQ381" s="12"/>
      <c r="AR381" s="12"/>
      <c r="AT381" s="17"/>
      <c r="AU381" s="12"/>
      <c r="AV381" s="12"/>
      <c r="AW381" s="17"/>
      <c r="AX381" s="12"/>
      <c r="AY381" s="12"/>
      <c r="BA381" s="12"/>
      <c r="BB381" s="12"/>
      <c r="BD381" s="12"/>
      <c r="BE381" s="12"/>
      <c r="BG381" s="12"/>
      <c r="BH381" s="12"/>
      <c r="BJ381" s="12"/>
      <c r="BK381" s="12"/>
      <c r="BM381" s="12"/>
      <c r="BN381" s="12"/>
      <c r="BO381" s="17"/>
      <c r="BQ381" s="12"/>
      <c r="BR381" s="12"/>
      <c r="BS381" s="17"/>
      <c r="BT381" s="17"/>
      <c r="BU381" s="12"/>
      <c r="BV381" s="12"/>
      <c r="BY381" s="12"/>
      <c r="BZ381" s="12"/>
      <c r="CC381" s="12"/>
      <c r="CD381" s="12"/>
      <c r="CG381" s="12"/>
      <c r="CH381" s="12"/>
      <c r="CJ381" s="12"/>
      <c r="CK381" s="12"/>
      <c r="CL381" s="17"/>
      <c r="CM381" s="17"/>
      <c r="CN381" s="12"/>
      <c r="CO381" s="12"/>
      <c r="CT381"/>
      <c r="CV381" s="12"/>
      <c r="CW381" s="12"/>
      <c r="CZ381" s="12"/>
      <c r="DA381" s="12"/>
      <c r="DC381" s="12"/>
      <c r="DD381" s="12"/>
      <c r="DF381" s="17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X381" s="9"/>
      <c r="EY381" s="9"/>
      <c r="EZ381" s="9"/>
      <c r="FA381" s="15"/>
      <c r="FB381" s="14"/>
      <c r="FC381" s="10"/>
      <c r="FD381" s="10"/>
      <c r="FE381" s="10"/>
      <c r="FF381" s="10"/>
      <c r="FG381" s="10"/>
      <c r="FH381" s="10"/>
    </row>
    <row r="382" spans="2:164" x14ac:dyDescent="0.25">
      <c r="B382"/>
      <c r="C382"/>
      <c r="D382"/>
      <c r="E382"/>
      <c r="F382" s="16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 s="16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 s="12"/>
      <c r="AK382" s="12"/>
      <c r="AL382" s="17"/>
      <c r="AN382" s="17"/>
      <c r="AP382" s="17"/>
      <c r="AQ382" s="12"/>
      <c r="AR382" s="12"/>
      <c r="AT382" s="17"/>
      <c r="AU382" s="12"/>
      <c r="AV382" s="12"/>
      <c r="AW382" s="17"/>
      <c r="AX382" s="12"/>
      <c r="AY382" s="12"/>
      <c r="BA382" s="12"/>
      <c r="BB382" s="12"/>
      <c r="BD382" s="12"/>
      <c r="BE382" s="12"/>
      <c r="BG382" s="12"/>
      <c r="BH382" s="12"/>
      <c r="BJ382" s="12"/>
      <c r="BK382" s="12"/>
      <c r="BM382" s="12"/>
      <c r="BN382" s="12"/>
      <c r="BO382" s="17"/>
      <c r="BQ382" s="12"/>
      <c r="BR382" s="12"/>
      <c r="BU382" s="12"/>
      <c r="BV382" s="12"/>
      <c r="BY382" s="12"/>
      <c r="BZ382" s="12"/>
      <c r="CA382" s="17"/>
      <c r="CB382" s="17"/>
      <c r="CC382" s="12"/>
      <c r="CD382" s="12"/>
      <c r="CG382" s="12"/>
      <c r="CH382" s="12"/>
      <c r="CJ382" s="12"/>
      <c r="CK382" s="12"/>
      <c r="CN382" s="12"/>
      <c r="CO382" s="12"/>
      <c r="CT382"/>
      <c r="CV382" s="12"/>
      <c r="CW382" s="12"/>
      <c r="CZ382" s="12"/>
      <c r="DA382" s="12"/>
      <c r="DC382" s="12"/>
      <c r="DD382" s="12"/>
      <c r="DF382" s="17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X382" s="9"/>
      <c r="EY382" s="9"/>
      <c r="EZ382" s="9"/>
      <c r="FA382" s="15"/>
      <c r="FB382" s="14"/>
      <c r="FC382" s="10"/>
      <c r="FD382" s="10"/>
      <c r="FE382" s="10"/>
      <c r="FF382" s="10"/>
      <c r="FG382" s="10"/>
      <c r="FH382" s="10"/>
    </row>
    <row r="383" spans="2:164" x14ac:dyDescent="0.25">
      <c r="B383"/>
      <c r="C383"/>
      <c r="D383"/>
      <c r="E383"/>
      <c r="F383" s="16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 s="16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 s="12"/>
      <c r="AK383" s="12"/>
      <c r="AL383" s="17"/>
      <c r="AN383" s="17"/>
      <c r="AP383" s="17"/>
      <c r="AQ383" s="12"/>
      <c r="AR383" s="12"/>
      <c r="AT383" s="17"/>
      <c r="AU383" s="12"/>
      <c r="AV383" s="12"/>
      <c r="AW383" s="17"/>
      <c r="AX383" s="12"/>
      <c r="AY383" s="12"/>
      <c r="BA383" s="12"/>
      <c r="BB383" s="12"/>
      <c r="BD383" s="12"/>
      <c r="BE383" s="12"/>
      <c r="BG383" s="12"/>
      <c r="BH383" s="12"/>
      <c r="BJ383" s="12"/>
      <c r="BK383" s="12"/>
      <c r="BM383" s="12"/>
      <c r="BN383" s="12"/>
      <c r="BO383" s="17"/>
      <c r="BQ383" s="12"/>
      <c r="BR383" s="12"/>
      <c r="BU383" s="12"/>
      <c r="BV383" s="12"/>
      <c r="BY383" s="12"/>
      <c r="BZ383" s="12"/>
      <c r="CA383" s="17"/>
      <c r="CB383" s="17"/>
      <c r="CC383" s="12"/>
      <c r="CD383" s="12"/>
      <c r="CG383" s="12"/>
      <c r="CH383" s="12"/>
      <c r="CJ383" s="12"/>
      <c r="CK383" s="12"/>
      <c r="CN383" s="12"/>
      <c r="CO383" s="12"/>
      <c r="CT383"/>
      <c r="CV383" s="12"/>
      <c r="CW383" s="12"/>
      <c r="CZ383" s="12"/>
      <c r="DA383" s="12"/>
      <c r="DC383" s="12"/>
      <c r="DD383" s="12"/>
      <c r="DF383" s="17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X383" s="9"/>
      <c r="EY383" s="9"/>
      <c r="EZ383" s="9"/>
      <c r="FA383" s="15"/>
      <c r="FB383" s="14"/>
      <c r="FC383" s="10"/>
      <c r="FD383" s="10"/>
      <c r="FE383" s="10"/>
      <c r="FF383" s="10"/>
      <c r="FG383" s="10"/>
      <c r="FH383" s="10"/>
    </row>
    <row r="384" spans="2:164" x14ac:dyDescent="0.25">
      <c r="B384"/>
      <c r="C384"/>
      <c r="D384"/>
      <c r="E384"/>
      <c r="F384" s="16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s="16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 s="12"/>
      <c r="AK384" s="12"/>
      <c r="AL384" s="17"/>
      <c r="AN384" s="17"/>
      <c r="AP384" s="17"/>
      <c r="AQ384" s="12"/>
      <c r="AR384" s="12"/>
      <c r="AT384" s="17"/>
      <c r="AU384" s="12"/>
      <c r="AV384" s="12"/>
      <c r="AW384" s="17"/>
      <c r="AX384" s="12"/>
      <c r="AY384" s="12"/>
      <c r="AZ384" s="17"/>
      <c r="BA384" s="12"/>
      <c r="BB384" s="12"/>
      <c r="BD384" s="12"/>
      <c r="BE384" s="12"/>
      <c r="BG384" s="12"/>
      <c r="BH384" s="12"/>
      <c r="BJ384" s="12"/>
      <c r="BK384" s="12"/>
      <c r="BM384" s="12"/>
      <c r="BN384" s="12"/>
      <c r="BO384" s="17"/>
      <c r="BQ384" s="12"/>
      <c r="BR384" s="12"/>
      <c r="BU384" s="12"/>
      <c r="BV384" s="12"/>
      <c r="BY384" s="12"/>
      <c r="BZ384" s="12"/>
      <c r="CC384" s="12"/>
      <c r="CD384" s="12"/>
      <c r="CG384" s="12"/>
      <c r="CH384" s="12"/>
      <c r="CJ384" s="12"/>
      <c r="CK384" s="12"/>
      <c r="CN384" s="12">
        <f t="shared" ref="CN384" si="2">(((AI384)/30)/6)*1.5*12*CM384</f>
        <v>0</v>
      </c>
      <c r="CO384" s="12">
        <f t="shared" ref="CO384" si="3">CL384-CN384</f>
        <v>0</v>
      </c>
      <c r="CT384"/>
      <c r="CV384" s="12">
        <f t="shared" ref="CV384" si="4">(((AI384)/30)/6)*1.5*12*CU384</f>
        <v>0</v>
      </c>
      <c r="CW384" s="12">
        <f t="shared" ref="CW384" si="5">CT384-CV384</f>
        <v>0</v>
      </c>
      <c r="CZ384" s="12">
        <f t="shared" ref="CZ384" si="6">(((AI384)/30)/8)*1.5*12*CY384</f>
        <v>0</v>
      </c>
      <c r="DA384" s="12">
        <f t="shared" ref="DA384" si="7">CX384-CZ384</f>
        <v>0</v>
      </c>
      <c r="DC384" s="12">
        <f t="shared" ref="DC384" si="8">((AI384+CI384)/30*1.33+(BS384+BW384+CA384+CE384+CL384+CP384+CT384+CX384)/30)*90</f>
        <v>0</v>
      </c>
      <c r="DD384" s="12">
        <f t="shared" ref="DD384" si="9">DB384-DC384</f>
        <v>0</v>
      </c>
      <c r="DF384" s="17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X384" s="9"/>
      <c r="EY384" s="9"/>
      <c r="EZ384" s="9"/>
      <c r="FA384" s="15"/>
      <c r="FB384" s="14"/>
      <c r="FC384" s="10"/>
      <c r="FD384" s="10"/>
      <c r="FE384" s="10"/>
      <c r="FF384" s="10"/>
      <c r="FG384" s="10"/>
      <c r="FH384" s="10"/>
    </row>
    <row r="385" spans="2:164" x14ac:dyDescent="0.25">
      <c r="B385"/>
      <c r="C385"/>
      <c r="D385"/>
      <c r="E385"/>
      <c r="F385" s="16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 s="16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 s="12"/>
      <c r="AK385" s="12"/>
      <c r="AL385" s="17"/>
      <c r="AN385" s="17"/>
      <c r="AP385" s="17"/>
      <c r="AQ385" s="12"/>
      <c r="AR385" s="12"/>
      <c r="AT385" s="17"/>
      <c r="AU385" s="12"/>
      <c r="AV385" s="12"/>
      <c r="AW385" s="17"/>
      <c r="AX385" s="12"/>
      <c r="AY385" s="12"/>
      <c r="BA385" s="12"/>
      <c r="BB385" s="12"/>
      <c r="BD385" s="12"/>
      <c r="BE385" s="12"/>
      <c r="BG385" s="12"/>
      <c r="BH385" s="12"/>
      <c r="BJ385" s="12"/>
      <c r="BK385" s="12"/>
      <c r="BM385" s="12"/>
      <c r="BN385" s="12"/>
      <c r="BO385" s="17"/>
      <c r="BQ385" s="12"/>
      <c r="BR385" s="12"/>
      <c r="BU385" s="12"/>
      <c r="BV385" s="12"/>
      <c r="BW385" s="17"/>
      <c r="BX385" s="17"/>
      <c r="BY385" s="12"/>
      <c r="BZ385" s="12"/>
      <c r="CC385" s="12"/>
      <c r="CD385" s="12"/>
      <c r="CG385" s="12"/>
      <c r="CH385" s="12"/>
      <c r="CJ385" s="12"/>
      <c r="CK385" s="12"/>
      <c r="CL385" s="17"/>
      <c r="CM385" s="17"/>
      <c r="CN385" s="12"/>
      <c r="CO385" s="12"/>
      <c r="CT385"/>
      <c r="CV385" s="12"/>
      <c r="CW385" s="12"/>
      <c r="CZ385" s="12"/>
      <c r="DA385" s="12"/>
      <c r="DC385" s="12"/>
      <c r="DD385" s="12"/>
      <c r="DF385" s="17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X385" s="9"/>
      <c r="EY385" s="9"/>
      <c r="EZ385" s="9"/>
      <c r="FA385" s="15"/>
      <c r="FB385" s="14"/>
      <c r="FC385" s="10"/>
      <c r="FD385" s="10"/>
      <c r="FE385" s="10"/>
      <c r="FF385" s="10"/>
      <c r="FG385" s="10"/>
      <c r="FH385" s="10"/>
    </row>
    <row r="386" spans="2:164" x14ac:dyDescent="0.25">
      <c r="B386"/>
      <c r="C386"/>
      <c r="D386"/>
      <c r="E386"/>
      <c r="F386" s="1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 s="1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 s="12"/>
      <c r="AK386" s="12"/>
      <c r="AL386" s="17"/>
      <c r="AN386" s="17"/>
      <c r="AP386" s="17"/>
      <c r="AQ386" s="12"/>
      <c r="AR386" s="12"/>
      <c r="AT386" s="17"/>
      <c r="AU386" s="12"/>
      <c r="AV386" s="12"/>
      <c r="AW386" s="17"/>
      <c r="AX386" s="12"/>
      <c r="AY386" s="12"/>
      <c r="BA386" s="12"/>
      <c r="BB386" s="12"/>
      <c r="BD386" s="12"/>
      <c r="BE386" s="12"/>
      <c r="BG386" s="12"/>
      <c r="BH386" s="12"/>
      <c r="BJ386" s="12"/>
      <c r="BK386" s="12"/>
      <c r="BM386" s="12"/>
      <c r="BN386" s="12"/>
      <c r="BO386" s="17"/>
      <c r="BQ386" s="12"/>
      <c r="BR386" s="12"/>
      <c r="BS386" s="17"/>
      <c r="BT386" s="17"/>
      <c r="BU386" s="12"/>
      <c r="BV386" s="12"/>
      <c r="BY386" s="12"/>
      <c r="BZ386" s="12"/>
      <c r="CC386" s="12"/>
      <c r="CD386" s="12"/>
      <c r="CG386" s="12"/>
      <c r="CH386" s="12"/>
      <c r="CJ386" s="12"/>
      <c r="CK386" s="12"/>
      <c r="CL386" s="17"/>
      <c r="CM386" s="17"/>
      <c r="CN386" s="12"/>
      <c r="CO386" s="12"/>
      <c r="CT386"/>
      <c r="CV386" s="12"/>
      <c r="CW386" s="12"/>
      <c r="CZ386" s="12"/>
      <c r="DA386" s="12"/>
      <c r="DC386" s="12"/>
      <c r="DD386" s="12"/>
      <c r="DF386" s="17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X386" s="9"/>
      <c r="EY386" s="9"/>
      <c r="EZ386" s="9"/>
      <c r="FA386" s="15"/>
      <c r="FB386" s="14"/>
      <c r="FC386" s="10"/>
      <c r="FD386" s="10"/>
      <c r="FE386" s="10"/>
      <c r="FF386" s="10"/>
      <c r="FG386" s="10"/>
      <c r="FH386" s="10"/>
    </row>
    <row r="387" spans="2:164" x14ac:dyDescent="0.25">
      <c r="B387"/>
      <c r="C387"/>
      <c r="D387"/>
      <c r="E387"/>
      <c r="F387" s="16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 s="16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 s="12"/>
      <c r="AK387" s="12"/>
      <c r="AL387" s="17"/>
      <c r="AP387" s="17"/>
      <c r="AQ387" s="12"/>
      <c r="AR387" s="12"/>
      <c r="AT387" s="17"/>
      <c r="AU387" s="12"/>
      <c r="AV387" s="12"/>
      <c r="AW387" s="17"/>
      <c r="AX387" s="12"/>
      <c r="AY387" s="12"/>
      <c r="BA387" s="12"/>
      <c r="BB387" s="12"/>
      <c r="BD387" s="12"/>
      <c r="BE387" s="12"/>
      <c r="BG387" s="12"/>
      <c r="BH387" s="12"/>
      <c r="BJ387" s="12"/>
      <c r="BK387" s="12"/>
      <c r="BM387" s="12"/>
      <c r="BN387" s="12"/>
      <c r="BO387" s="17"/>
      <c r="BQ387" s="12"/>
      <c r="BR387" s="12"/>
      <c r="BU387" s="12"/>
      <c r="BV387" s="12"/>
      <c r="BY387" s="12"/>
      <c r="BZ387" s="12"/>
      <c r="CA387" s="17"/>
      <c r="CB387" s="17"/>
      <c r="CC387" s="12"/>
      <c r="CD387" s="12"/>
      <c r="CG387" s="12"/>
      <c r="CH387" s="12"/>
      <c r="CJ387" s="12"/>
      <c r="CK387" s="12"/>
      <c r="CN387" s="12"/>
      <c r="CO387" s="12"/>
      <c r="CT387"/>
      <c r="CV387" s="12"/>
      <c r="CW387" s="12"/>
      <c r="CZ387" s="12"/>
      <c r="DA387" s="12"/>
      <c r="DC387" s="12"/>
      <c r="DD387" s="12"/>
      <c r="DF387" s="1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X387" s="9"/>
      <c r="EY387" s="9"/>
      <c r="EZ387" s="9"/>
      <c r="FA387" s="15"/>
      <c r="FB387" s="14"/>
      <c r="FC387" s="10"/>
      <c r="FD387" s="10"/>
      <c r="FE387" s="10"/>
      <c r="FF387" s="10"/>
      <c r="FG387" s="10"/>
      <c r="FH387" s="10"/>
    </row>
    <row r="388" spans="2:164" x14ac:dyDescent="0.25">
      <c r="B388"/>
      <c r="C388"/>
      <c r="D388"/>
      <c r="E388"/>
      <c r="F388" s="16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 s="16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 s="12"/>
      <c r="AK388" s="12"/>
      <c r="AL388" s="17"/>
      <c r="AP388" s="17"/>
      <c r="AQ388" s="12"/>
      <c r="AR388" s="12"/>
      <c r="AT388" s="17"/>
      <c r="AU388" s="12"/>
      <c r="AV388" s="12"/>
      <c r="AW388" s="17"/>
      <c r="AX388" s="12"/>
      <c r="AY388" s="12"/>
      <c r="BA388" s="12"/>
      <c r="BB388" s="12"/>
      <c r="BD388" s="12"/>
      <c r="BE388" s="12"/>
      <c r="BG388" s="12"/>
      <c r="BH388" s="12"/>
      <c r="BJ388" s="12"/>
      <c r="BK388" s="12"/>
      <c r="BM388" s="12"/>
      <c r="BN388" s="12"/>
      <c r="BO388" s="17"/>
      <c r="BQ388" s="12"/>
      <c r="BR388" s="12"/>
      <c r="BU388" s="12"/>
      <c r="BV388" s="12"/>
      <c r="BY388" s="12"/>
      <c r="BZ388" s="12"/>
      <c r="CA388" s="17"/>
      <c r="CB388" s="17"/>
      <c r="CC388" s="12"/>
      <c r="CD388" s="12"/>
      <c r="CG388" s="12"/>
      <c r="CH388" s="12"/>
      <c r="CJ388" s="12"/>
      <c r="CK388" s="12"/>
      <c r="CN388" s="12"/>
      <c r="CO388" s="12"/>
      <c r="CT388"/>
      <c r="CV388" s="12"/>
      <c r="CW388" s="12"/>
      <c r="CZ388" s="12"/>
      <c r="DA388" s="12"/>
      <c r="DC388" s="12"/>
      <c r="DD388" s="12"/>
      <c r="DF388" s="17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X388" s="9"/>
      <c r="EY388" s="9"/>
      <c r="EZ388" s="9"/>
      <c r="FA388" s="15"/>
      <c r="FB388" s="14"/>
      <c r="FC388" s="10"/>
      <c r="FD388" s="10"/>
      <c r="FE388" s="10"/>
      <c r="FF388" s="10"/>
      <c r="FG388" s="10"/>
      <c r="FH388" s="10"/>
    </row>
    <row r="389" spans="2:164" x14ac:dyDescent="0.25">
      <c r="B389"/>
      <c r="C389"/>
      <c r="D389"/>
      <c r="E389"/>
      <c r="F389" s="16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s="16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 s="12"/>
      <c r="AK389" s="12"/>
      <c r="AL389" s="17"/>
      <c r="AN389" s="17"/>
      <c r="AP389" s="17"/>
      <c r="AQ389" s="12"/>
      <c r="AR389" s="12"/>
      <c r="AT389" s="17"/>
      <c r="AU389" s="12"/>
      <c r="AV389" s="12"/>
      <c r="AW389" s="17"/>
      <c r="AX389" s="12"/>
      <c r="AY389" s="12"/>
      <c r="BA389" s="12"/>
      <c r="BB389" s="12"/>
      <c r="BD389" s="12"/>
      <c r="BE389" s="12"/>
      <c r="BG389" s="12"/>
      <c r="BH389" s="12"/>
      <c r="BJ389" s="12"/>
      <c r="BK389" s="12"/>
      <c r="BM389" s="12"/>
      <c r="BN389" s="12"/>
      <c r="BO389" s="17"/>
      <c r="BQ389" s="12"/>
      <c r="BR389" s="12"/>
      <c r="BU389" s="12"/>
      <c r="BV389" s="12"/>
      <c r="BY389" s="12"/>
      <c r="BZ389" s="12"/>
      <c r="CA389" s="17"/>
      <c r="CB389" s="17"/>
      <c r="CC389" s="12"/>
      <c r="CD389" s="12"/>
      <c r="CG389" s="12"/>
      <c r="CH389" s="12"/>
      <c r="CJ389" s="12"/>
      <c r="CK389" s="12"/>
      <c r="CN389" s="12"/>
      <c r="CO389" s="12"/>
      <c r="CT389"/>
      <c r="CV389" s="12"/>
      <c r="CW389" s="12"/>
      <c r="CZ389" s="12"/>
      <c r="DA389" s="12"/>
      <c r="DC389" s="12"/>
      <c r="DD389" s="12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X389" s="9"/>
      <c r="EY389" s="9"/>
      <c r="EZ389" s="9"/>
      <c r="FA389" s="15"/>
      <c r="FB389" s="14"/>
      <c r="FC389" s="10"/>
      <c r="FD389" s="10"/>
      <c r="FE389" s="10"/>
      <c r="FF389" s="10"/>
      <c r="FG389" s="10"/>
      <c r="FH389" s="10"/>
    </row>
    <row r="390" spans="2:164" x14ac:dyDescent="0.25">
      <c r="B390"/>
      <c r="C390"/>
      <c r="D390"/>
      <c r="E390"/>
      <c r="F390" s="16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16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 s="12"/>
      <c r="AK390" s="12"/>
      <c r="AL390" s="17"/>
      <c r="AN390" s="17"/>
      <c r="AP390" s="17"/>
      <c r="AQ390" s="12"/>
      <c r="AR390" s="12"/>
      <c r="AT390" s="17"/>
      <c r="AU390" s="12"/>
      <c r="AV390" s="12"/>
      <c r="AW390" s="17"/>
      <c r="AX390" s="12"/>
      <c r="AY390" s="12"/>
      <c r="BA390" s="12"/>
      <c r="BB390" s="12"/>
      <c r="BC390" s="17"/>
      <c r="BD390" s="12"/>
      <c r="BE390" s="12"/>
      <c r="BG390" s="12"/>
      <c r="BH390" s="12"/>
      <c r="BJ390" s="12"/>
      <c r="BK390" s="12"/>
      <c r="BM390" s="12"/>
      <c r="BN390" s="12"/>
      <c r="BO390" s="17"/>
      <c r="BQ390" s="12"/>
      <c r="BR390" s="12"/>
      <c r="BU390" s="12"/>
      <c r="BV390" s="12"/>
      <c r="BY390" s="12"/>
      <c r="BZ390" s="12"/>
      <c r="CA390" s="17"/>
      <c r="CB390" s="17"/>
      <c r="CC390" s="12"/>
      <c r="CD390" s="12"/>
      <c r="CG390" s="12"/>
      <c r="CH390" s="12"/>
      <c r="CJ390" s="12"/>
      <c r="CK390" s="12"/>
      <c r="CN390" s="12"/>
      <c r="CO390" s="12"/>
      <c r="CT390"/>
      <c r="CV390" s="12"/>
      <c r="CW390" s="12"/>
      <c r="CZ390" s="12"/>
      <c r="DA390" s="12"/>
      <c r="DC390" s="12"/>
      <c r="DD390" s="12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X390" s="9"/>
      <c r="EY390" s="9"/>
      <c r="EZ390" s="9"/>
      <c r="FA390" s="15"/>
      <c r="FB390" s="14"/>
      <c r="FC390" s="10"/>
      <c r="FD390" s="10"/>
      <c r="FE390" s="10"/>
      <c r="FF390" s="10"/>
      <c r="FG390" s="10"/>
      <c r="FH390" s="10"/>
    </row>
    <row r="391" spans="2:164" x14ac:dyDescent="0.25">
      <c r="B391"/>
      <c r="C391"/>
      <c r="D391"/>
      <c r="E391"/>
      <c r="F391" s="16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s="16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 s="12"/>
      <c r="AK391" s="12"/>
      <c r="AL391" s="17"/>
      <c r="AN391" s="17"/>
      <c r="AP391" s="17"/>
      <c r="AQ391" s="12"/>
      <c r="AR391" s="12"/>
      <c r="AT391" s="17"/>
      <c r="AU391" s="12"/>
      <c r="AV391" s="12"/>
      <c r="AW391" s="17"/>
      <c r="AX391" s="12"/>
      <c r="AY391" s="12"/>
      <c r="BA391" s="12"/>
      <c r="BB391" s="12"/>
      <c r="BC391" s="17"/>
      <c r="BD391" s="12"/>
      <c r="BE391" s="12"/>
      <c r="BG391" s="12"/>
      <c r="BH391" s="12"/>
      <c r="BJ391" s="12"/>
      <c r="BK391" s="12"/>
      <c r="BM391" s="12"/>
      <c r="BN391" s="12"/>
      <c r="BO391" s="17"/>
      <c r="BQ391" s="12"/>
      <c r="BR391" s="12"/>
      <c r="BU391" s="12"/>
      <c r="BV391" s="12"/>
      <c r="BW391" s="17"/>
      <c r="BX391" s="17"/>
      <c r="BY391" s="12"/>
      <c r="BZ391" s="12"/>
      <c r="CC391" s="12"/>
      <c r="CD391" s="12"/>
      <c r="CG391" s="12"/>
      <c r="CH391" s="12"/>
      <c r="CI391" s="17"/>
      <c r="CJ391" s="12"/>
      <c r="CK391" s="12"/>
      <c r="CN391" s="12"/>
      <c r="CO391" s="12"/>
      <c r="CT391"/>
      <c r="CV391" s="12"/>
      <c r="CW391" s="12"/>
      <c r="CZ391" s="12"/>
      <c r="DA391" s="12"/>
      <c r="DC391" s="12"/>
      <c r="DD391" s="12"/>
      <c r="DF391" s="17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X391" s="9"/>
      <c r="EY391" s="9"/>
      <c r="EZ391" s="9"/>
      <c r="FA391" s="15"/>
      <c r="FB391" s="14"/>
      <c r="FC391" s="10"/>
      <c r="FD391" s="10"/>
      <c r="FE391" s="10"/>
      <c r="FF391" s="10"/>
      <c r="FG391" s="10"/>
      <c r="FH391" s="10"/>
    </row>
    <row r="392" spans="2:164" x14ac:dyDescent="0.25">
      <c r="B392"/>
      <c r="C392"/>
      <c r="D392"/>
      <c r="E392"/>
      <c r="F392" s="16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16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 s="12"/>
      <c r="AK392" s="12"/>
      <c r="AL392" s="17"/>
      <c r="AN392" s="17"/>
      <c r="AP392" s="17"/>
      <c r="AQ392" s="12"/>
      <c r="AR392" s="12"/>
      <c r="AT392" s="17"/>
      <c r="AU392" s="12"/>
      <c r="AV392" s="12"/>
      <c r="AW392" s="17"/>
      <c r="AX392" s="12"/>
      <c r="AY392" s="12"/>
      <c r="BA392" s="12"/>
      <c r="BB392" s="12"/>
      <c r="BD392" s="12"/>
      <c r="BE392" s="12"/>
      <c r="BG392" s="12"/>
      <c r="BH392" s="12"/>
      <c r="BJ392" s="12"/>
      <c r="BK392" s="12"/>
      <c r="BM392" s="12"/>
      <c r="BN392" s="12"/>
      <c r="BO392" s="17"/>
      <c r="BQ392" s="12"/>
      <c r="BR392" s="12"/>
      <c r="BU392" s="12"/>
      <c r="BV392" s="12"/>
      <c r="BY392" s="12"/>
      <c r="BZ392" s="12"/>
      <c r="CC392" s="12"/>
      <c r="CD392" s="12"/>
      <c r="CG392" s="12"/>
      <c r="CH392" s="12"/>
      <c r="CJ392" s="12"/>
      <c r="CK392" s="12"/>
      <c r="CN392" s="12"/>
      <c r="CO392" s="12"/>
      <c r="CT392"/>
      <c r="CV392" s="12"/>
      <c r="CW392" s="12"/>
      <c r="CZ392" s="12"/>
      <c r="DA392" s="12"/>
      <c r="DC392" s="12"/>
      <c r="DD392" s="12"/>
      <c r="DE392" s="17"/>
      <c r="DF392" s="17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X392" s="9"/>
      <c r="EY392" s="9"/>
      <c r="EZ392" s="9"/>
      <c r="FA392" s="15"/>
      <c r="FB392" s="14"/>
      <c r="FC392" s="10"/>
      <c r="FD392" s="10"/>
      <c r="FE392" s="10"/>
      <c r="FF392" s="10"/>
      <c r="FG392" s="10"/>
      <c r="FH392" s="10"/>
    </row>
    <row r="393" spans="2:164" x14ac:dyDescent="0.25">
      <c r="B393"/>
      <c r="C393"/>
      <c r="D393"/>
      <c r="E393"/>
      <c r="F393" s="16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 s="16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 s="12"/>
      <c r="AK393" s="12"/>
      <c r="AL393" s="17"/>
      <c r="AN393" s="17"/>
      <c r="AP393" s="17"/>
      <c r="AQ393" s="12"/>
      <c r="AR393" s="12"/>
      <c r="AT393" s="17"/>
      <c r="AU393" s="12"/>
      <c r="AV393" s="12"/>
      <c r="AW393" s="17"/>
      <c r="AX393" s="12"/>
      <c r="AY393" s="12"/>
      <c r="BA393" s="12"/>
      <c r="BB393" s="12"/>
      <c r="BD393" s="12"/>
      <c r="BE393" s="12"/>
      <c r="BG393" s="12"/>
      <c r="BH393" s="12"/>
      <c r="BJ393" s="12"/>
      <c r="BK393" s="12"/>
      <c r="BM393" s="12"/>
      <c r="BN393" s="12"/>
      <c r="BO393" s="17"/>
      <c r="BQ393" s="12"/>
      <c r="BR393" s="12"/>
      <c r="BS393" s="17"/>
      <c r="BT393" s="17"/>
      <c r="BU393" s="12"/>
      <c r="BV393" s="12"/>
      <c r="BY393" s="12"/>
      <c r="BZ393" s="12"/>
      <c r="CC393" s="12"/>
      <c r="CD393" s="12"/>
      <c r="CG393" s="12"/>
      <c r="CH393" s="12"/>
      <c r="CJ393" s="12"/>
      <c r="CK393" s="12"/>
      <c r="CL393" s="17"/>
      <c r="CM393" s="17"/>
      <c r="CN393" s="12"/>
      <c r="CO393" s="12"/>
      <c r="CT393"/>
      <c r="CV393" s="12"/>
      <c r="CW393" s="12"/>
      <c r="CZ393" s="12"/>
      <c r="DA393" s="12"/>
      <c r="DC393" s="12"/>
      <c r="DD393" s="12"/>
      <c r="DF393" s="17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X393" s="9"/>
      <c r="EY393" s="9"/>
      <c r="EZ393" s="9"/>
      <c r="FA393" s="15"/>
      <c r="FB393" s="14"/>
      <c r="FC393" s="10"/>
      <c r="FD393" s="10"/>
      <c r="FE393" s="10"/>
      <c r="FF393" s="10"/>
      <c r="FG393" s="10"/>
      <c r="FH393" s="10"/>
    </row>
    <row r="394" spans="2:164" x14ac:dyDescent="0.25">
      <c r="B394"/>
      <c r="C394"/>
      <c r="D394"/>
      <c r="E394"/>
      <c r="F394" s="16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 s="16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 s="12"/>
      <c r="AK394" s="12"/>
      <c r="AL394" s="17"/>
      <c r="AN394" s="17"/>
      <c r="AP394" s="17"/>
      <c r="AQ394" s="12"/>
      <c r="AR394" s="12"/>
      <c r="AT394" s="17"/>
      <c r="AU394" s="12"/>
      <c r="AV394" s="12"/>
      <c r="AW394" s="17"/>
      <c r="AX394" s="12"/>
      <c r="AY394" s="12"/>
      <c r="BA394" s="12"/>
      <c r="BB394" s="12"/>
      <c r="BD394" s="12"/>
      <c r="BE394" s="12"/>
      <c r="BG394" s="12"/>
      <c r="BH394" s="12"/>
      <c r="BJ394" s="12"/>
      <c r="BK394" s="12"/>
      <c r="BM394" s="12"/>
      <c r="BN394" s="12"/>
      <c r="BO394" s="17"/>
      <c r="BQ394" s="12"/>
      <c r="BR394" s="12"/>
      <c r="BU394" s="12"/>
      <c r="BV394" s="12"/>
      <c r="BY394" s="12"/>
      <c r="BZ394" s="12"/>
      <c r="CA394" s="17"/>
      <c r="CB394" s="17"/>
      <c r="CC394" s="12"/>
      <c r="CD394" s="12"/>
      <c r="CG394" s="12"/>
      <c r="CH394" s="12"/>
      <c r="CJ394" s="12"/>
      <c r="CK394" s="12"/>
      <c r="CN394" s="12"/>
      <c r="CO394" s="12"/>
      <c r="CT394"/>
      <c r="CV394" s="12"/>
      <c r="CW394" s="12"/>
      <c r="CZ394" s="12"/>
      <c r="DA394" s="12"/>
      <c r="DC394" s="12"/>
      <c r="DD394" s="12"/>
      <c r="DE394" s="17"/>
      <c r="DF394" s="17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X394" s="9"/>
      <c r="EY394" s="9"/>
      <c r="EZ394" s="9"/>
      <c r="FA394" s="15"/>
      <c r="FB394" s="14"/>
      <c r="FC394" s="10"/>
      <c r="FD394" s="10"/>
      <c r="FE394" s="10"/>
      <c r="FF394" s="10"/>
      <c r="FG394" s="10"/>
      <c r="FH394" s="10"/>
    </row>
    <row r="395" spans="2:164" x14ac:dyDescent="0.25">
      <c r="B395"/>
      <c r="C395"/>
      <c r="D395"/>
      <c r="E395"/>
      <c r="F395" s="16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s="16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 s="12"/>
      <c r="AK395" s="12"/>
      <c r="AL395" s="17"/>
      <c r="AN395" s="17"/>
      <c r="AP395" s="17"/>
      <c r="AQ395" s="12"/>
      <c r="AR395" s="12"/>
      <c r="AT395" s="17"/>
      <c r="AU395" s="12"/>
      <c r="AV395" s="12"/>
      <c r="AW395" s="17"/>
      <c r="AX395" s="12"/>
      <c r="AY395" s="12"/>
      <c r="BA395" s="12"/>
      <c r="BB395" s="12"/>
      <c r="BD395" s="12"/>
      <c r="BE395" s="12"/>
      <c r="BG395" s="12"/>
      <c r="BH395" s="12"/>
      <c r="BJ395" s="12"/>
      <c r="BK395" s="12"/>
      <c r="BM395" s="12"/>
      <c r="BN395" s="12"/>
      <c r="BO395" s="17"/>
      <c r="BQ395" s="12"/>
      <c r="BR395" s="12"/>
      <c r="BU395" s="12"/>
      <c r="BV395" s="12"/>
      <c r="BY395" s="12"/>
      <c r="BZ395" s="12"/>
      <c r="CA395" s="17"/>
      <c r="CB395" s="17"/>
      <c r="CC395" s="12"/>
      <c r="CD395" s="12"/>
      <c r="CG395" s="12"/>
      <c r="CH395" s="12"/>
      <c r="CJ395" s="12"/>
      <c r="CK395" s="12"/>
      <c r="CN395" s="12"/>
      <c r="CO395" s="12"/>
      <c r="CT395"/>
      <c r="CV395" s="12"/>
      <c r="CW395" s="12"/>
      <c r="CZ395" s="12"/>
      <c r="DA395" s="12"/>
      <c r="DC395" s="12"/>
      <c r="DD395" s="12"/>
      <c r="DF395" s="17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X395" s="9"/>
      <c r="EY395" s="9"/>
      <c r="EZ395" s="9"/>
      <c r="FA395" s="15"/>
      <c r="FB395" s="14"/>
      <c r="FC395" s="10"/>
      <c r="FD395" s="10"/>
      <c r="FE395" s="10"/>
      <c r="FF395" s="10"/>
      <c r="FG395" s="10"/>
      <c r="FH395" s="10"/>
    </row>
    <row r="396" spans="2:164" x14ac:dyDescent="0.25">
      <c r="B396"/>
      <c r="C396"/>
      <c r="D396"/>
      <c r="E396"/>
      <c r="F396" s="1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s="1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 s="12"/>
      <c r="AK396" s="12"/>
      <c r="AL396" s="17"/>
      <c r="AN396" s="17"/>
      <c r="AP396" s="17"/>
      <c r="AQ396" s="12"/>
      <c r="AR396" s="12"/>
      <c r="AT396" s="17"/>
      <c r="AU396" s="12"/>
      <c r="AV396" s="12"/>
      <c r="AW396" s="17"/>
      <c r="AX396" s="12"/>
      <c r="AY396" s="12"/>
      <c r="BA396" s="12"/>
      <c r="BB396" s="12"/>
      <c r="BD396" s="12"/>
      <c r="BE396" s="12"/>
      <c r="BG396" s="12"/>
      <c r="BH396" s="12"/>
      <c r="BJ396" s="12"/>
      <c r="BK396" s="12"/>
      <c r="BM396" s="12"/>
      <c r="BN396" s="12"/>
      <c r="BO396" s="17"/>
      <c r="BQ396" s="12"/>
      <c r="BR396" s="12"/>
      <c r="BU396" s="12"/>
      <c r="BV396" s="12"/>
      <c r="BY396" s="12"/>
      <c r="BZ396" s="12"/>
      <c r="CA396" s="17"/>
      <c r="CB396" s="17"/>
      <c r="CC396" s="12"/>
      <c r="CD396" s="12"/>
      <c r="CG396" s="12"/>
      <c r="CH396" s="12"/>
      <c r="CJ396" s="12"/>
      <c r="CK396" s="12"/>
      <c r="CN396" s="12"/>
      <c r="CO396" s="12"/>
      <c r="CT396"/>
      <c r="CV396" s="12"/>
      <c r="CW396" s="12"/>
      <c r="CZ396" s="12"/>
      <c r="DA396" s="12"/>
      <c r="DC396" s="12"/>
      <c r="DD396" s="12"/>
      <c r="DE396" s="17"/>
      <c r="DF396" s="17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X396" s="9"/>
      <c r="EY396" s="9"/>
      <c r="EZ396" s="9"/>
      <c r="FA396" s="15"/>
      <c r="FB396" s="14"/>
      <c r="FC396" s="10"/>
      <c r="FD396" s="10"/>
      <c r="FE396" s="10"/>
      <c r="FF396" s="10"/>
      <c r="FG396" s="10"/>
      <c r="FH396" s="10"/>
    </row>
    <row r="397" spans="2:164" x14ac:dyDescent="0.25">
      <c r="B397"/>
      <c r="C397"/>
      <c r="D397"/>
      <c r="E397"/>
      <c r="F397" s="16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s="16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 s="12"/>
      <c r="AK397" s="12"/>
      <c r="AL397" s="17"/>
      <c r="AN397" s="17"/>
      <c r="AP397" s="17"/>
      <c r="AQ397" s="12"/>
      <c r="AR397" s="12"/>
      <c r="AT397" s="17"/>
      <c r="AU397" s="12"/>
      <c r="AV397" s="12"/>
      <c r="AW397" s="17"/>
      <c r="AX397" s="12"/>
      <c r="AY397" s="12"/>
      <c r="BA397" s="12"/>
      <c r="BB397" s="12"/>
      <c r="BD397" s="12"/>
      <c r="BE397" s="12"/>
      <c r="BG397" s="12"/>
      <c r="BH397" s="12"/>
      <c r="BJ397" s="12"/>
      <c r="BK397" s="12"/>
      <c r="BM397" s="12"/>
      <c r="BN397" s="12"/>
      <c r="BO397" s="17"/>
      <c r="BQ397" s="12"/>
      <c r="BR397" s="12"/>
      <c r="BU397" s="12"/>
      <c r="BV397" s="12"/>
      <c r="BW397" s="17"/>
      <c r="BX397" s="17"/>
      <c r="BY397" s="12"/>
      <c r="BZ397" s="12"/>
      <c r="CC397" s="12"/>
      <c r="CD397" s="12"/>
      <c r="CG397" s="12"/>
      <c r="CH397" s="12"/>
      <c r="CI397" s="17"/>
      <c r="CJ397" s="12"/>
      <c r="CK397" s="12"/>
      <c r="CN397" s="12"/>
      <c r="CO397" s="12"/>
      <c r="CT397"/>
      <c r="CV397" s="12"/>
      <c r="CW397" s="12"/>
      <c r="CZ397" s="12"/>
      <c r="DA397" s="12"/>
      <c r="DC397" s="12"/>
      <c r="DD397" s="12"/>
      <c r="DF397" s="1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X397" s="9"/>
      <c r="EY397" s="9"/>
      <c r="EZ397" s="9"/>
      <c r="FA397" s="15"/>
      <c r="FB397" s="14"/>
      <c r="FC397" s="10"/>
      <c r="FD397" s="10"/>
      <c r="FE397" s="10"/>
      <c r="FF397" s="10"/>
      <c r="FG397" s="10"/>
      <c r="FH397" s="10"/>
    </row>
    <row r="398" spans="2:164" x14ac:dyDescent="0.25">
      <c r="B398"/>
      <c r="C398"/>
      <c r="D398"/>
      <c r="E398"/>
      <c r="F398" s="16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s="16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 s="12"/>
      <c r="AK398" s="12"/>
      <c r="AL398" s="17"/>
      <c r="AN398" s="17"/>
      <c r="AP398" s="17"/>
      <c r="AQ398" s="12"/>
      <c r="AR398" s="12"/>
      <c r="AT398" s="17"/>
      <c r="AU398" s="12"/>
      <c r="AV398" s="12"/>
      <c r="AW398" s="17"/>
      <c r="AX398" s="12"/>
      <c r="AY398" s="12"/>
      <c r="BA398" s="12"/>
      <c r="BB398" s="12"/>
      <c r="BD398" s="12"/>
      <c r="BE398" s="12"/>
      <c r="BG398" s="12"/>
      <c r="BH398" s="12"/>
      <c r="BJ398" s="12"/>
      <c r="BK398" s="12"/>
      <c r="BM398" s="12"/>
      <c r="BN398" s="12"/>
      <c r="BO398" s="17"/>
      <c r="BQ398" s="12"/>
      <c r="BR398" s="12"/>
      <c r="BU398" s="12"/>
      <c r="BV398" s="12"/>
      <c r="BY398" s="12"/>
      <c r="BZ398" s="12"/>
      <c r="CC398" s="12"/>
      <c r="CD398" s="12"/>
      <c r="CG398" s="12"/>
      <c r="CH398" s="12"/>
      <c r="CJ398" s="12"/>
      <c r="CK398" s="12"/>
      <c r="CN398" s="12"/>
      <c r="CO398" s="12"/>
      <c r="CT398"/>
      <c r="CV398" s="12"/>
      <c r="CW398" s="12"/>
      <c r="CZ398" s="12"/>
      <c r="DA398" s="12"/>
      <c r="DC398" s="12"/>
      <c r="DD398" s="12"/>
      <c r="DE398" s="17"/>
      <c r="DF398" s="17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X398" s="9"/>
      <c r="EY398" s="9"/>
      <c r="EZ398" s="9"/>
      <c r="FA398" s="15"/>
      <c r="FB398" s="14"/>
      <c r="FC398" s="10"/>
      <c r="FD398" s="10"/>
      <c r="FE398" s="10"/>
      <c r="FF398" s="10"/>
      <c r="FG398" s="10"/>
      <c r="FH398" s="10"/>
    </row>
    <row r="399" spans="2:164" x14ac:dyDescent="0.25">
      <c r="B399"/>
      <c r="C399"/>
      <c r="D399"/>
      <c r="E399"/>
      <c r="F399" s="16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s="16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 s="12"/>
      <c r="AK399" s="12"/>
      <c r="AL399" s="17"/>
      <c r="AN399" s="17"/>
      <c r="AP399" s="17"/>
      <c r="AQ399" s="12"/>
      <c r="AR399" s="12"/>
      <c r="AT399" s="17"/>
      <c r="AU399" s="12"/>
      <c r="AV399" s="12"/>
      <c r="AW399" s="17"/>
      <c r="AX399" s="12"/>
      <c r="AY399" s="12"/>
      <c r="BA399" s="12"/>
      <c r="BB399" s="12"/>
      <c r="BD399" s="12"/>
      <c r="BE399" s="12"/>
      <c r="BG399" s="12"/>
      <c r="BH399" s="12"/>
      <c r="BJ399" s="12"/>
      <c r="BK399" s="12"/>
      <c r="BM399" s="12"/>
      <c r="BN399" s="12"/>
      <c r="BO399" s="17"/>
      <c r="BQ399" s="12"/>
      <c r="BR399" s="12"/>
      <c r="BU399" s="12"/>
      <c r="BV399" s="12"/>
      <c r="BW399" s="17"/>
      <c r="BX399" s="17"/>
      <c r="BY399" s="12"/>
      <c r="BZ399" s="12"/>
      <c r="CC399" s="12"/>
      <c r="CD399" s="12"/>
      <c r="CG399" s="12"/>
      <c r="CH399" s="12"/>
      <c r="CI399" s="17"/>
      <c r="CJ399" s="12"/>
      <c r="CK399" s="12"/>
      <c r="CN399" s="12"/>
      <c r="CO399" s="12"/>
      <c r="CT399"/>
      <c r="CV399" s="12"/>
      <c r="CW399" s="12"/>
      <c r="CZ399" s="12"/>
      <c r="DA399" s="12"/>
      <c r="DC399" s="12"/>
      <c r="DD399" s="12"/>
      <c r="DE399" s="17"/>
      <c r="DF399" s="17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X399" s="9"/>
      <c r="EY399" s="9"/>
      <c r="EZ399" s="9"/>
      <c r="FA399" s="15"/>
      <c r="FB399" s="14"/>
      <c r="FC399" s="10"/>
      <c r="FD399" s="10"/>
      <c r="FE399" s="10"/>
      <c r="FF399" s="10"/>
      <c r="FG399" s="10"/>
      <c r="FH399" s="10"/>
    </row>
    <row r="400" spans="2:164" x14ac:dyDescent="0.25">
      <c r="B400"/>
      <c r="C400"/>
      <c r="D400"/>
      <c r="E400"/>
      <c r="F400" s="16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s="16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 s="12"/>
      <c r="AK400" s="12"/>
      <c r="AL400" s="17"/>
      <c r="AN400" s="17"/>
      <c r="AP400" s="17"/>
      <c r="AQ400" s="12"/>
      <c r="AR400" s="12"/>
      <c r="AT400" s="17"/>
      <c r="AU400" s="12"/>
      <c r="AV400" s="12"/>
      <c r="AW400" s="17"/>
      <c r="AX400" s="12"/>
      <c r="AY400" s="12"/>
      <c r="BA400" s="12"/>
      <c r="BB400" s="12"/>
      <c r="BD400" s="12"/>
      <c r="BE400" s="12"/>
      <c r="BG400" s="12"/>
      <c r="BH400" s="12"/>
      <c r="BJ400" s="12"/>
      <c r="BK400" s="12"/>
      <c r="BM400" s="12"/>
      <c r="BN400" s="12"/>
      <c r="BO400" s="17"/>
      <c r="BQ400" s="12"/>
      <c r="BR400" s="12"/>
      <c r="BU400" s="12"/>
      <c r="BV400" s="12"/>
      <c r="BY400" s="12"/>
      <c r="BZ400" s="12"/>
      <c r="CA400" s="17"/>
      <c r="CB400" s="17"/>
      <c r="CC400" s="12"/>
      <c r="CD400" s="12"/>
      <c r="CG400" s="12"/>
      <c r="CH400" s="12"/>
      <c r="CJ400" s="12"/>
      <c r="CK400" s="12"/>
      <c r="CN400" s="12"/>
      <c r="CO400" s="12"/>
      <c r="CT400"/>
      <c r="CV400" s="12"/>
      <c r="CW400" s="12"/>
      <c r="CZ400" s="12"/>
      <c r="DA400" s="12"/>
      <c r="DC400" s="12"/>
      <c r="DD400" s="12"/>
      <c r="DE400" s="17"/>
      <c r="DF400" s="17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X400" s="9"/>
      <c r="EY400" s="9"/>
      <c r="EZ400" s="9"/>
      <c r="FA400" s="15"/>
      <c r="FB400" s="14"/>
      <c r="FC400" s="10"/>
      <c r="FD400" s="10"/>
      <c r="FE400" s="10"/>
      <c r="FF400" s="10"/>
      <c r="FG400" s="10"/>
      <c r="FH400" s="10"/>
    </row>
    <row r="401" spans="2:164" x14ac:dyDescent="0.25">
      <c r="B401"/>
      <c r="C401"/>
      <c r="D401"/>
      <c r="E401"/>
      <c r="F401" s="16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16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 s="12"/>
      <c r="AK401" s="12"/>
      <c r="AL401" s="17"/>
      <c r="AN401" s="17"/>
      <c r="AP401" s="17"/>
      <c r="AQ401" s="12"/>
      <c r="AR401" s="12"/>
      <c r="AT401" s="17"/>
      <c r="AU401" s="12"/>
      <c r="AV401" s="12"/>
      <c r="AW401" s="17"/>
      <c r="AX401" s="12"/>
      <c r="AY401" s="12"/>
      <c r="BA401" s="12"/>
      <c r="BB401" s="12"/>
      <c r="BD401" s="12"/>
      <c r="BE401" s="12"/>
      <c r="BG401" s="12"/>
      <c r="BH401" s="12"/>
      <c r="BJ401" s="12"/>
      <c r="BK401" s="12"/>
      <c r="BM401" s="12"/>
      <c r="BN401" s="12"/>
      <c r="BO401" s="17"/>
      <c r="BQ401" s="12"/>
      <c r="BR401" s="12"/>
      <c r="BU401" s="12"/>
      <c r="BV401" s="12"/>
      <c r="BY401" s="12"/>
      <c r="BZ401" s="12"/>
      <c r="CA401" s="17"/>
      <c r="CB401" s="17"/>
      <c r="CC401" s="12"/>
      <c r="CD401" s="12"/>
      <c r="CG401" s="12"/>
      <c r="CH401" s="12"/>
      <c r="CJ401" s="12"/>
      <c r="CK401" s="12"/>
      <c r="CN401" s="12"/>
      <c r="CO401" s="12"/>
      <c r="CT401"/>
      <c r="CV401" s="12"/>
      <c r="CW401" s="12"/>
      <c r="CZ401" s="12"/>
      <c r="DA401" s="12"/>
      <c r="DC401" s="12"/>
      <c r="DD401" s="12"/>
      <c r="DE401" s="17"/>
      <c r="DF401" s="17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X401" s="9"/>
      <c r="EY401" s="9"/>
      <c r="EZ401" s="9"/>
      <c r="FA401" s="15"/>
      <c r="FB401" s="14"/>
      <c r="FC401" s="10"/>
      <c r="FD401" s="10"/>
      <c r="FE401" s="10"/>
      <c r="FF401" s="10"/>
      <c r="FG401" s="10"/>
      <c r="FH401" s="10"/>
    </row>
    <row r="402" spans="2:164" x14ac:dyDescent="0.25">
      <c r="B402"/>
      <c r="C402"/>
      <c r="D402"/>
      <c r="E402"/>
      <c r="F402" s="16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16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 s="12"/>
      <c r="AK402" s="12"/>
      <c r="AL402" s="17"/>
      <c r="AN402" s="17"/>
      <c r="AP402" s="17"/>
      <c r="AQ402" s="12"/>
      <c r="AR402" s="12"/>
      <c r="AT402" s="17"/>
      <c r="AU402" s="12"/>
      <c r="AV402" s="12"/>
      <c r="AW402" s="17"/>
      <c r="AX402" s="12"/>
      <c r="AY402" s="12"/>
      <c r="BA402" s="12"/>
      <c r="BB402" s="12"/>
      <c r="BD402" s="12"/>
      <c r="BE402" s="12"/>
      <c r="BG402" s="12"/>
      <c r="BH402" s="12"/>
      <c r="BJ402" s="12"/>
      <c r="BK402" s="12"/>
      <c r="BM402" s="12"/>
      <c r="BN402" s="12"/>
      <c r="BO402" s="17"/>
      <c r="BQ402" s="12"/>
      <c r="BR402" s="12"/>
      <c r="BU402" s="12"/>
      <c r="BV402" s="12"/>
      <c r="BW402" s="17"/>
      <c r="BX402" s="17"/>
      <c r="BY402" s="12"/>
      <c r="BZ402" s="12"/>
      <c r="CC402" s="12"/>
      <c r="CD402" s="12"/>
      <c r="CG402" s="12"/>
      <c r="CH402" s="12"/>
      <c r="CJ402" s="12"/>
      <c r="CK402" s="12"/>
      <c r="CL402" s="17"/>
      <c r="CM402" s="17"/>
      <c r="CN402" s="12"/>
      <c r="CO402" s="12"/>
      <c r="CT402"/>
      <c r="CV402" s="12"/>
      <c r="CW402" s="12"/>
      <c r="CZ402" s="12"/>
      <c r="DA402" s="12"/>
      <c r="DC402" s="12"/>
      <c r="DD402" s="12"/>
      <c r="DF402" s="17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X402" s="9"/>
      <c r="EY402" s="9"/>
      <c r="EZ402" s="9"/>
      <c r="FA402" s="15"/>
      <c r="FB402" s="14"/>
      <c r="FC402" s="10"/>
      <c r="FD402" s="10"/>
      <c r="FE402" s="10"/>
      <c r="FF402" s="10"/>
      <c r="FG402" s="10"/>
      <c r="FH402" s="10"/>
    </row>
    <row r="403" spans="2:164" x14ac:dyDescent="0.25">
      <c r="B403"/>
      <c r="C403"/>
      <c r="D403"/>
      <c r="E403"/>
      <c r="F403" s="16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s="16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 s="12"/>
      <c r="AK403" s="12"/>
      <c r="AL403" s="17"/>
      <c r="AN403" s="17"/>
      <c r="AP403" s="17"/>
      <c r="AQ403" s="12"/>
      <c r="AR403" s="12"/>
      <c r="AT403" s="17"/>
      <c r="AU403" s="12"/>
      <c r="AV403" s="12"/>
      <c r="AW403" s="17"/>
      <c r="AX403" s="12"/>
      <c r="AY403" s="12"/>
      <c r="BA403" s="12"/>
      <c r="BB403" s="12"/>
      <c r="BD403" s="12"/>
      <c r="BE403" s="12"/>
      <c r="BG403" s="12"/>
      <c r="BH403" s="12"/>
      <c r="BJ403" s="12"/>
      <c r="BK403" s="12"/>
      <c r="BM403" s="12"/>
      <c r="BN403" s="12"/>
      <c r="BO403" s="17"/>
      <c r="BQ403" s="12"/>
      <c r="BR403" s="12"/>
      <c r="BU403" s="12"/>
      <c r="BV403" s="12"/>
      <c r="BW403" s="17"/>
      <c r="BX403" s="17"/>
      <c r="BY403" s="12"/>
      <c r="BZ403" s="12"/>
      <c r="CC403" s="12"/>
      <c r="CD403" s="12"/>
      <c r="CG403" s="12"/>
      <c r="CH403" s="12"/>
      <c r="CI403" s="17"/>
      <c r="CJ403" s="12"/>
      <c r="CK403" s="12"/>
      <c r="CN403" s="12"/>
      <c r="CO403" s="12"/>
      <c r="CT403"/>
      <c r="CV403" s="12"/>
      <c r="CW403" s="12"/>
      <c r="CZ403" s="12"/>
      <c r="DA403" s="12"/>
      <c r="DC403" s="12"/>
      <c r="DD403" s="12"/>
      <c r="DE403" s="17"/>
      <c r="DF403" s="17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X403" s="9"/>
      <c r="EY403" s="9"/>
      <c r="EZ403" s="9"/>
      <c r="FA403" s="15"/>
      <c r="FB403" s="14"/>
      <c r="FC403" s="10"/>
      <c r="FD403" s="10"/>
      <c r="FE403" s="10"/>
      <c r="FF403" s="10"/>
      <c r="FG403" s="10"/>
      <c r="FH403" s="10"/>
    </row>
    <row r="404" spans="2:164" x14ac:dyDescent="0.25">
      <c r="B404"/>
      <c r="C404"/>
      <c r="D404"/>
      <c r="E404"/>
      <c r="F404" s="16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s="16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 s="12"/>
      <c r="AK404" s="12"/>
      <c r="AL404" s="17"/>
      <c r="AN404" s="17"/>
      <c r="AP404" s="17"/>
      <c r="AQ404" s="12"/>
      <c r="AR404" s="12"/>
      <c r="AT404" s="17"/>
      <c r="AU404" s="12"/>
      <c r="AV404" s="12"/>
      <c r="AW404" s="17"/>
      <c r="AX404" s="12"/>
      <c r="AY404" s="12"/>
      <c r="BA404" s="12"/>
      <c r="BB404" s="12"/>
      <c r="BD404" s="12"/>
      <c r="BE404" s="12"/>
      <c r="BG404" s="12"/>
      <c r="BH404" s="12"/>
      <c r="BJ404" s="12"/>
      <c r="BK404" s="12"/>
      <c r="BM404" s="12"/>
      <c r="BN404" s="12"/>
      <c r="BO404" s="17"/>
      <c r="BQ404" s="12"/>
      <c r="BR404" s="12"/>
      <c r="BS404" s="17"/>
      <c r="BT404" s="17"/>
      <c r="BU404" s="12"/>
      <c r="BV404" s="12"/>
      <c r="BY404" s="12"/>
      <c r="BZ404" s="12"/>
      <c r="CC404" s="12"/>
      <c r="CD404" s="12"/>
      <c r="CG404" s="12"/>
      <c r="CH404" s="12"/>
      <c r="CJ404" s="12"/>
      <c r="CK404" s="12"/>
      <c r="CL404" s="17"/>
      <c r="CM404" s="17"/>
      <c r="CN404" s="12"/>
      <c r="CO404" s="12"/>
      <c r="CT404"/>
      <c r="CV404" s="12"/>
      <c r="CW404" s="12"/>
      <c r="CZ404" s="12"/>
      <c r="DA404" s="12"/>
      <c r="DC404" s="12"/>
      <c r="DD404" s="12"/>
      <c r="DF404" s="17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X404" s="9"/>
      <c r="EY404" s="9"/>
      <c r="EZ404" s="9"/>
      <c r="FA404" s="15"/>
      <c r="FB404" s="14"/>
      <c r="FC404" s="10"/>
      <c r="FD404" s="10"/>
      <c r="FE404" s="10"/>
      <c r="FF404" s="10"/>
      <c r="FG404" s="10"/>
      <c r="FH404" s="10"/>
    </row>
    <row r="405" spans="2:164" x14ac:dyDescent="0.25">
      <c r="B405"/>
      <c r="C405"/>
      <c r="D405"/>
      <c r="E405"/>
      <c r="F405" s="16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s="16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 s="12"/>
      <c r="AK405" s="12"/>
      <c r="AL405" s="17"/>
      <c r="AN405" s="17"/>
      <c r="AP405" s="17"/>
      <c r="AQ405" s="12"/>
      <c r="AR405" s="12"/>
      <c r="AT405" s="17"/>
      <c r="AU405" s="12"/>
      <c r="AV405" s="12"/>
      <c r="AW405" s="17"/>
      <c r="AX405" s="12"/>
      <c r="AY405" s="12"/>
      <c r="BA405" s="12"/>
      <c r="BB405" s="12"/>
      <c r="BD405" s="12"/>
      <c r="BE405" s="12"/>
      <c r="BG405" s="12"/>
      <c r="BH405" s="12"/>
      <c r="BJ405" s="12"/>
      <c r="BK405" s="12"/>
      <c r="BM405" s="12"/>
      <c r="BN405" s="12"/>
      <c r="BO405" s="17"/>
      <c r="BQ405" s="12"/>
      <c r="BR405" s="12"/>
      <c r="BS405" s="17"/>
      <c r="BT405" s="17"/>
      <c r="BU405" s="12"/>
      <c r="BV405" s="12"/>
      <c r="BY405" s="12"/>
      <c r="BZ405" s="12"/>
      <c r="CC405" s="12"/>
      <c r="CD405" s="12"/>
      <c r="CG405" s="12"/>
      <c r="CH405" s="12"/>
      <c r="CI405" s="17"/>
      <c r="CJ405" s="12"/>
      <c r="CK405" s="12"/>
      <c r="CN405" s="12"/>
      <c r="CO405" s="12"/>
      <c r="CT405"/>
      <c r="CV405" s="12"/>
      <c r="CW405" s="12"/>
      <c r="CZ405" s="12"/>
      <c r="DA405" s="12"/>
      <c r="DC405" s="12"/>
      <c r="DD405" s="12"/>
      <c r="DE405" s="17"/>
      <c r="DF405" s="17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X405" s="9"/>
      <c r="EY405" s="9"/>
      <c r="EZ405" s="9"/>
      <c r="FA405" s="15"/>
      <c r="FB405" s="14"/>
      <c r="FC405" s="10"/>
      <c r="FD405" s="10"/>
      <c r="FE405" s="10"/>
      <c r="FF405" s="10"/>
      <c r="FG405" s="10"/>
      <c r="FH405" s="10"/>
    </row>
    <row r="406" spans="2:164" x14ac:dyDescent="0.25">
      <c r="B406"/>
      <c r="C406"/>
      <c r="D406"/>
      <c r="E406"/>
      <c r="F406" s="1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1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 s="12"/>
      <c r="AK406" s="12"/>
      <c r="AL406" s="17"/>
      <c r="AN406" s="17"/>
      <c r="AP406" s="17"/>
      <c r="AQ406" s="12"/>
      <c r="AR406" s="12"/>
      <c r="AT406" s="17"/>
      <c r="AU406" s="12"/>
      <c r="AV406" s="12"/>
      <c r="AW406" s="17"/>
      <c r="AX406" s="12"/>
      <c r="AY406" s="12"/>
      <c r="BA406" s="12"/>
      <c r="BB406" s="12"/>
      <c r="BD406" s="12"/>
      <c r="BE406" s="12"/>
      <c r="BG406" s="12"/>
      <c r="BH406" s="12"/>
      <c r="BJ406" s="12"/>
      <c r="BK406" s="12"/>
      <c r="BM406" s="12"/>
      <c r="BN406" s="12"/>
      <c r="BO406" s="17"/>
      <c r="BQ406" s="12"/>
      <c r="BR406" s="12"/>
      <c r="BU406" s="12"/>
      <c r="BV406" s="12"/>
      <c r="BY406" s="12"/>
      <c r="BZ406" s="12"/>
      <c r="CA406" s="17"/>
      <c r="CB406" s="17"/>
      <c r="CC406" s="12"/>
      <c r="CD406" s="12"/>
      <c r="CG406" s="12"/>
      <c r="CH406" s="12"/>
      <c r="CJ406" s="12"/>
      <c r="CK406" s="12"/>
      <c r="CN406" s="12"/>
      <c r="CO406" s="12"/>
      <c r="CT406"/>
      <c r="CV406" s="12"/>
      <c r="CW406" s="12"/>
      <c r="CZ406" s="12"/>
      <c r="DA406" s="12"/>
      <c r="DC406" s="12"/>
      <c r="DD406" s="12"/>
      <c r="DF406" s="17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X406" s="9"/>
      <c r="EY406" s="9"/>
      <c r="EZ406" s="9"/>
      <c r="FA406" s="15"/>
      <c r="FB406" s="14"/>
      <c r="FC406" s="10"/>
      <c r="FD406" s="10"/>
      <c r="FE406" s="10"/>
      <c r="FF406" s="10"/>
      <c r="FG406" s="10"/>
      <c r="FH406" s="10"/>
    </row>
    <row r="407" spans="2:164" x14ac:dyDescent="0.25">
      <c r="B407"/>
      <c r="C407"/>
      <c r="D407"/>
      <c r="E407"/>
      <c r="F407" s="16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s="16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 s="12"/>
      <c r="AK407" s="12"/>
      <c r="AL407" s="17"/>
      <c r="AN407" s="17"/>
      <c r="AP407" s="17"/>
      <c r="AQ407" s="12"/>
      <c r="AR407" s="12"/>
      <c r="AT407" s="17"/>
      <c r="AU407" s="12"/>
      <c r="AV407" s="12"/>
      <c r="AW407" s="17"/>
      <c r="AX407" s="12"/>
      <c r="AY407" s="12"/>
      <c r="BA407" s="12"/>
      <c r="BB407" s="12"/>
      <c r="BD407" s="12"/>
      <c r="BE407" s="12"/>
      <c r="BG407" s="12"/>
      <c r="BH407" s="12"/>
      <c r="BJ407" s="12"/>
      <c r="BK407" s="12"/>
      <c r="BM407" s="12"/>
      <c r="BN407" s="12"/>
      <c r="BO407" s="17"/>
      <c r="BQ407" s="12"/>
      <c r="BR407" s="12"/>
      <c r="BU407" s="12"/>
      <c r="BV407" s="12"/>
      <c r="BW407" s="17"/>
      <c r="BX407" s="17"/>
      <c r="BY407" s="12"/>
      <c r="BZ407" s="12"/>
      <c r="CC407" s="12"/>
      <c r="CD407" s="12"/>
      <c r="CG407" s="12"/>
      <c r="CH407" s="12"/>
      <c r="CI407" s="17"/>
      <c r="CJ407" s="12"/>
      <c r="CK407" s="12"/>
      <c r="CN407" s="12"/>
      <c r="CO407" s="12"/>
      <c r="CT407"/>
      <c r="CV407" s="12"/>
      <c r="CW407" s="12"/>
      <c r="CZ407" s="12"/>
      <c r="DA407" s="12"/>
      <c r="DC407" s="12"/>
      <c r="DD407" s="12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X407" s="9"/>
      <c r="EY407" s="9"/>
      <c r="EZ407" s="9"/>
      <c r="FA407" s="15"/>
      <c r="FB407" s="14"/>
      <c r="FC407" s="10"/>
      <c r="FD407" s="10"/>
      <c r="FE407" s="10"/>
      <c r="FF407" s="10"/>
      <c r="FG407" s="10"/>
      <c r="FH407" s="10"/>
    </row>
    <row r="408" spans="2:164" x14ac:dyDescent="0.25">
      <c r="B408"/>
      <c r="C408"/>
      <c r="D408"/>
      <c r="E408"/>
      <c r="F408" s="16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s="16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 s="12"/>
      <c r="AK408" s="12"/>
      <c r="AL408" s="17"/>
      <c r="AN408" s="17"/>
      <c r="AP408" s="17"/>
      <c r="AQ408" s="12"/>
      <c r="AR408" s="12"/>
      <c r="AT408" s="17"/>
      <c r="AU408" s="12"/>
      <c r="AV408" s="12"/>
      <c r="AW408" s="17"/>
      <c r="AX408" s="12"/>
      <c r="AY408" s="12"/>
      <c r="BA408" s="12"/>
      <c r="BB408" s="12"/>
      <c r="BC408" s="17"/>
      <c r="BD408" s="12"/>
      <c r="BE408" s="12"/>
      <c r="BG408" s="12"/>
      <c r="BH408" s="12"/>
      <c r="BJ408" s="12"/>
      <c r="BK408" s="12"/>
      <c r="BM408" s="12"/>
      <c r="BN408" s="12"/>
      <c r="BO408" s="17"/>
      <c r="BQ408" s="12"/>
      <c r="BR408" s="12"/>
      <c r="BU408" s="12"/>
      <c r="BV408" s="12"/>
      <c r="BW408" s="17"/>
      <c r="BX408" s="17"/>
      <c r="BY408" s="12"/>
      <c r="BZ408" s="12"/>
      <c r="CC408" s="12"/>
      <c r="CD408" s="12"/>
      <c r="CG408" s="12"/>
      <c r="CH408" s="12"/>
      <c r="CI408" s="17"/>
      <c r="CJ408" s="12"/>
      <c r="CK408" s="12"/>
      <c r="CN408" s="12"/>
      <c r="CO408" s="12"/>
      <c r="CT408"/>
      <c r="CV408" s="12"/>
      <c r="CW408" s="12"/>
      <c r="CZ408" s="12"/>
      <c r="DA408" s="12"/>
      <c r="DC408" s="12"/>
      <c r="DD408" s="12"/>
      <c r="DE408" s="17"/>
      <c r="DF408" s="17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X408" s="9"/>
      <c r="EY408" s="9"/>
      <c r="EZ408" s="9"/>
      <c r="FA408" s="15"/>
      <c r="FB408" s="14"/>
      <c r="FC408" s="10"/>
      <c r="FD408" s="10"/>
      <c r="FE408" s="10"/>
      <c r="FF408" s="10"/>
      <c r="FG408" s="10"/>
      <c r="FH408" s="10"/>
    </row>
    <row r="409" spans="2:164" x14ac:dyDescent="0.25">
      <c r="B409"/>
      <c r="C409"/>
      <c r="D409"/>
      <c r="E409"/>
      <c r="F409" s="16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s="16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 s="12"/>
      <c r="AK409" s="12"/>
      <c r="AL409" s="17"/>
      <c r="AN409" s="17"/>
      <c r="AP409" s="17"/>
      <c r="AQ409" s="12"/>
      <c r="AR409" s="12"/>
      <c r="AT409" s="17"/>
      <c r="AU409" s="12"/>
      <c r="AV409" s="12"/>
      <c r="AW409" s="17"/>
      <c r="AX409" s="12"/>
      <c r="AY409" s="12"/>
      <c r="BA409" s="12"/>
      <c r="BB409" s="12"/>
      <c r="BD409" s="12"/>
      <c r="BE409" s="12"/>
      <c r="BG409" s="12"/>
      <c r="BH409" s="12"/>
      <c r="BJ409" s="12"/>
      <c r="BK409" s="12"/>
      <c r="BM409" s="12"/>
      <c r="BN409" s="12"/>
      <c r="BQ409" s="12"/>
      <c r="BR409" s="12"/>
      <c r="BU409" s="12"/>
      <c r="BV409" s="12"/>
      <c r="BY409" s="12"/>
      <c r="BZ409" s="12"/>
      <c r="CC409" s="12"/>
      <c r="CD409" s="12"/>
      <c r="CG409" s="12"/>
      <c r="CH409" s="12"/>
      <c r="CJ409" s="12"/>
      <c r="CK409" s="12"/>
      <c r="CN409" s="12"/>
      <c r="CO409" s="12"/>
      <c r="CT409"/>
      <c r="CV409" s="12"/>
      <c r="CW409" s="12"/>
      <c r="CZ409" s="12"/>
      <c r="DA409" s="12"/>
      <c r="DC409" s="12"/>
      <c r="DD409" s="12"/>
      <c r="DF409" s="17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X409" s="9"/>
      <c r="EY409" s="9"/>
      <c r="EZ409" s="9"/>
      <c r="FA409" s="15"/>
      <c r="FB409" s="14"/>
      <c r="FC409" s="10"/>
      <c r="FD409" s="10"/>
      <c r="FE409" s="10"/>
      <c r="FF409" s="10"/>
      <c r="FG409" s="10"/>
      <c r="FH409" s="10"/>
    </row>
    <row r="410" spans="2:164" x14ac:dyDescent="0.25">
      <c r="B410"/>
      <c r="C410"/>
      <c r="D410"/>
      <c r="E410"/>
      <c r="F410" s="16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s="16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 s="12"/>
      <c r="AK410" s="12"/>
      <c r="AL410" s="17"/>
      <c r="AN410" s="17"/>
      <c r="AP410" s="17"/>
      <c r="AQ410" s="12"/>
      <c r="AR410" s="12"/>
      <c r="AT410" s="17"/>
      <c r="AU410" s="12"/>
      <c r="AV410" s="12"/>
      <c r="AW410" s="17"/>
      <c r="AX410" s="12"/>
      <c r="AY410" s="12"/>
      <c r="BA410" s="12"/>
      <c r="BB410" s="12"/>
      <c r="BD410" s="12"/>
      <c r="BE410" s="12"/>
      <c r="BG410" s="12"/>
      <c r="BH410" s="12"/>
      <c r="BJ410" s="12"/>
      <c r="BK410" s="12"/>
      <c r="BM410" s="12"/>
      <c r="BN410" s="12"/>
      <c r="BO410" s="17"/>
      <c r="BQ410" s="12"/>
      <c r="BR410" s="12"/>
      <c r="BU410" s="12"/>
      <c r="BV410" s="12"/>
      <c r="BW410" s="17"/>
      <c r="BX410" s="17"/>
      <c r="BY410" s="12"/>
      <c r="BZ410" s="12"/>
      <c r="CC410" s="12"/>
      <c r="CD410" s="12"/>
      <c r="CG410" s="12"/>
      <c r="CH410" s="12"/>
      <c r="CJ410" s="12"/>
      <c r="CK410" s="12"/>
      <c r="CL410" s="17"/>
      <c r="CM410" s="17"/>
      <c r="CN410" s="12"/>
      <c r="CO410" s="12"/>
      <c r="CT410"/>
      <c r="CV410" s="12"/>
      <c r="CW410" s="12"/>
      <c r="CZ410" s="12"/>
      <c r="DA410" s="12"/>
      <c r="DC410" s="12"/>
      <c r="DD410" s="12"/>
      <c r="DE410" s="17"/>
      <c r="DF410" s="17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X410" s="9"/>
      <c r="EY410" s="9"/>
      <c r="EZ410" s="9"/>
      <c r="FA410" s="15"/>
      <c r="FB410" s="14"/>
      <c r="FC410" s="10"/>
      <c r="FD410" s="10"/>
      <c r="FE410" s="10"/>
      <c r="FF410" s="10"/>
      <c r="FG410" s="10"/>
      <c r="FH410" s="10"/>
    </row>
    <row r="411" spans="2:164" x14ac:dyDescent="0.25">
      <c r="B411"/>
      <c r="C411"/>
      <c r="D411"/>
      <c r="E411"/>
      <c r="F411" s="16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 s="16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 s="12"/>
      <c r="AK411" s="12"/>
      <c r="AL411" s="17"/>
      <c r="AN411" s="17"/>
      <c r="AP411" s="17"/>
      <c r="AQ411" s="12"/>
      <c r="AR411" s="12"/>
      <c r="AT411" s="17"/>
      <c r="AU411" s="12"/>
      <c r="AV411" s="12"/>
      <c r="AW411" s="17"/>
      <c r="AX411" s="12"/>
      <c r="AY411" s="12"/>
      <c r="BA411" s="12"/>
      <c r="BB411" s="12"/>
      <c r="BC411" s="17"/>
      <c r="BD411" s="12"/>
      <c r="BE411" s="12"/>
      <c r="BG411" s="12"/>
      <c r="BH411" s="12"/>
      <c r="BJ411" s="12"/>
      <c r="BK411" s="12"/>
      <c r="BM411" s="12"/>
      <c r="BN411" s="12"/>
      <c r="BO411" s="17"/>
      <c r="BQ411" s="12"/>
      <c r="BR411" s="12"/>
      <c r="BU411" s="12"/>
      <c r="BV411" s="12"/>
      <c r="BW411" s="17"/>
      <c r="BX411" s="17"/>
      <c r="BY411" s="12"/>
      <c r="BZ411" s="12"/>
      <c r="CC411" s="12"/>
      <c r="CD411" s="12"/>
      <c r="CG411" s="12"/>
      <c r="CH411" s="12"/>
      <c r="CI411" s="17"/>
      <c r="CJ411" s="12"/>
      <c r="CK411" s="12"/>
      <c r="CN411" s="12"/>
      <c r="CO411" s="12"/>
      <c r="CT411"/>
      <c r="CV411" s="12"/>
      <c r="CW411" s="12"/>
      <c r="CZ411" s="12"/>
      <c r="DA411" s="12"/>
      <c r="DC411" s="12"/>
      <c r="DD411" s="12"/>
      <c r="DE411" s="17"/>
      <c r="DF411" s="17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X411" s="9"/>
      <c r="EY411" s="9"/>
      <c r="EZ411" s="9"/>
      <c r="FA411" s="15"/>
      <c r="FB411" s="14"/>
      <c r="FC411" s="10"/>
      <c r="FD411" s="10"/>
      <c r="FE411" s="10"/>
      <c r="FF411" s="10"/>
      <c r="FG411" s="10"/>
      <c r="FH411" s="10"/>
    </row>
    <row r="412" spans="2:164" x14ac:dyDescent="0.25">
      <c r="B412"/>
      <c r="C412"/>
      <c r="D412"/>
      <c r="E412"/>
      <c r="F412" s="16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 s="16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 s="12"/>
      <c r="AK412" s="12"/>
      <c r="AL412" s="17"/>
      <c r="AN412" s="17"/>
      <c r="AP412" s="17"/>
      <c r="AQ412" s="12"/>
      <c r="AR412" s="12"/>
      <c r="AT412" s="17"/>
      <c r="AU412" s="12"/>
      <c r="AV412" s="12"/>
      <c r="AW412" s="17"/>
      <c r="AX412" s="12"/>
      <c r="AY412" s="12"/>
      <c r="BA412" s="12"/>
      <c r="BB412" s="12"/>
      <c r="BD412" s="12"/>
      <c r="BE412" s="12"/>
      <c r="BG412" s="12"/>
      <c r="BH412" s="12"/>
      <c r="BJ412" s="12"/>
      <c r="BK412" s="12"/>
      <c r="BM412" s="12"/>
      <c r="BN412" s="12"/>
      <c r="BO412" s="17"/>
      <c r="BQ412" s="12"/>
      <c r="BR412" s="12"/>
      <c r="BS412" s="17"/>
      <c r="BT412" s="17"/>
      <c r="BU412" s="12"/>
      <c r="BV412" s="12"/>
      <c r="BY412" s="12"/>
      <c r="BZ412" s="12"/>
      <c r="CC412" s="12"/>
      <c r="CD412" s="12"/>
      <c r="CG412" s="12"/>
      <c r="CH412" s="12"/>
      <c r="CJ412" s="12"/>
      <c r="CK412" s="12"/>
      <c r="CL412" s="17"/>
      <c r="CM412" s="17"/>
      <c r="CN412" s="12"/>
      <c r="CO412" s="12"/>
      <c r="CT412"/>
      <c r="CV412" s="12"/>
      <c r="CW412" s="12"/>
      <c r="CZ412" s="12"/>
      <c r="DA412" s="12"/>
      <c r="DC412" s="12"/>
      <c r="DD412" s="12"/>
      <c r="DE412" s="17"/>
      <c r="DF412" s="17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X412" s="9"/>
      <c r="EY412" s="9"/>
      <c r="EZ412" s="9"/>
      <c r="FA412" s="15"/>
      <c r="FB412" s="14"/>
      <c r="FC412" s="10"/>
      <c r="FD412" s="10"/>
      <c r="FE412" s="10"/>
      <c r="FF412" s="10"/>
      <c r="FG412" s="10"/>
      <c r="FH412" s="10"/>
    </row>
    <row r="413" spans="2:164" x14ac:dyDescent="0.25">
      <c r="B413"/>
      <c r="C413"/>
      <c r="D413"/>
      <c r="E413"/>
      <c r="F413" s="16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 s="16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 s="12"/>
      <c r="AK413" s="12"/>
      <c r="AL413" s="17"/>
      <c r="AN413" s="17"/>
      <c r="AP413" s="17"/>
      <c r="AQ413" s="12"/>
      <c r="AR413" s="12"/>
      <c r="AT413" s="17"/>
      <c r="AU413" s="12"/>
      <c r="AV413" s="12"/>
      <c r="AW413" s="17"/>
      <c r="AX413" s="12"/>
      <c r="AY413" s="12"/>
      <c r="BA413" s="12"/>
      <c r="BB413" s="12"/>
      <c r="BD413" s="12"/>
      <c r="BE413" s="12"/>
      <c r="BG413" s="12"/>
      <c r="BH413" s="12"/>
      <c r="BJ413" s="12"/>
      <c r="BK413" s="12"/>
      <c r="BM413" s="12"/>
      <c r="BN413" s="12"/>
      <c r="BO413" s="17"/>
      <c r="BQ413" s="12"/>
      <c r="BR413" s="12"/>
      <c r="BU413" s="12"/>
      <c r="BV413" s="12"/>
      <c r="BY413" s="12"/>
      <c r="BZ413" s="12"/>
      <c r="CA413" s="17"/>
      <c r="CB413" s="17"/>
      <c r="CC413" s="12"/>
      <c r="CD413" s="12"/>
      <c r="CG413" s="12"/>
      <c r="CH413" s="12"/>
      <c r="CJ413" s="12"/>
      <c r="CK413" s="12"/>
      <c r="CN413" s="12"/>
      <c r="CO413" s="12"/>
      <c r="CT413"/>
      <c r="CV413" s="12"/>
      <c r="CW413" s="12"/>
      <c r="CZ413" s="12"/>
      <c r="DA413" s="12"/>
      <c r="DC413" s="12"/>
      <c r="DD413" s="12"/>
      <c r="DE413" s="17"/>
      <c r="DF413" s="17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X413" s="9"/>
      <c r="EY413" s="9"/>
      <c r="EZ413" s="9"/>
      <c r="FA413" s="15"/>
      <c r="FB413" s="14"/>
      <c r="FC413" s="10"/>
      <c r="FD413" s="10"/>
      <c r="FE413" s="10"/>
      <c r="FF413" s="10"/>
      <c r="FG413" s="10"/>
      <c r="FH413" s="10"/>
    </row>
    <row r="414" spans="2:164" x14ac:dyDescent="0.25">
      <c r="B414"/>
      <c r="C414"/>
      <c r="D414"/>
      <c r="E414"/>
      <c r="F414" s="16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s="16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 s="12"/>
      <c r="AK414" s="12"/>
      <c r="AL414" s="17"/>
      <c r="AN414" s="17"/>
      <c r="AP414" s="17"/>
      <c r="AQ414" s="12"/>
      <c r="AR414" s="12"/>
      <c r="AT414" s="17"/>
      <c r="AU414" s="12"/>
      <c r="AV414" s="12"/>
      <c r="AW414" s="17"/>
      <c r="AX414" s="12"/>
      <c r="AY414" s="12"/>
      <c r="BA414" s="12"/>
      <c r="BB414" s="12"/>
      <c r="BD414" s="12"/>
      <c r="BE414" s="12"/>
      <c r="BG414" s="12"/>
      <c r="BH414" s="12"/>
      <c r="BJ414" s="12"/>
      <c r="BK414" s="12"/>
      <c r="BM414" s="12"/>
      <c r="BN414" s="12"/>
      <c r="BO414" s="17"/>
      <c r="BQ414" s="12"/>
      <c r="BR414" s="12"/>
      <c r="BS414" s="17"/>
      <c r="BT414" s="17"/>
      <c r="BU414" s="12"/>
      <c r="BV414" s="12"/>
      <c r="BY414" s="12"/>
      <c r="BZ414" s="12"/>
      <c r="CC414" s="12"/>
      <c r="CD414" s="12"/>
      <c r="CG414" s="12"/>
      <c r="CH414" s="12"/>
      <c r="CI414" s="17"/>
      <c r="CJ414" s="12"/>
      <c r="CK414" s="12"/>
      <c r="CN414" s="12"/>
      <c r="CO414" s="12"/>
      <c r="CT414"/>
      <c r="CV414" s="12"/>
      <c r="CW414" s="12"/>
      <c r="CZ414" s="12"/>
      <c r="DA414" s="12"/>
      <c r="DB414" s="17"/>
      <c r="DC414" s="12"/>
      <c r="DD414" s="12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X414" s="9"/>
      <c r="EY414" s="9"/>
      <c r="EZ414" s="9"/>
      <c r="FA414" s="15"/>
      <c r="FB414" s="14"/>
      <c r="FC414" s="10"/>
      <c r="FD414" s="10"/>
      <c r="FE414" s="10"/>
      <c r="FF414" s="10"/>
      <c r="FG414" s="10"/>
      <c r="FH414" s="10"/>
    </row>
    <row r="415" spans="2:164" x14ac:dyDescent="0.25">
      <c r="B415"/>
      <c r="C415"/>
      <c r="D415"/>
      <c r="E415"/>
      <c r="F415" s="16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 s="16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 s="12"/>
      <c r="AK415" s="12"/>
      <c r="AL415" s="17"/>
      <c r="AN415" s="17"/>
      <c r="AP415" s="17"/>
      <c r="AQ415" s="12"/>
      <c r="AR415" s="12"/>
      <c r="AT415" s="17"/>
      <c r="AU415" s="12"/>
      <c r="AV415" s="12"/>
      <c r="AW415" s="17"/>
      <c r="AX415" s="12"/>
      <c r="AY415" s="12"/>
      <c r="BA415" s="12"/>
      <c r="BB415" s="12"/>
      <c r="BC415" s="17"/>
      <c r="BD415" s="12"/>
      <c r="BE415" s="12"/>
      <c r="BG415" s="12"/>
      <c r="BH415" s="12"/>
      <c r="BJ415" s="12"/>
      <c r="BK415" s="12"/>
      <c r="BM415" s="12"/>
      <c r="BN415" s="12"/>
      <c r="BO415" s="17"/>
      <c r="BQ415" s="12"/>
      <c r="BR415" s="12"/>
      <c r="BU415" s="12"/>
      <c r="BV415" s="12"/>
      <c r="BW415" s="17"/>
      <c r="BX415" s="17"/>
      <c r="BY415" s="12"/>
      <c r="BZ415" s="12"/>
      <c r="CC415" s="12"/>
      <c r="CD415" s="12"/>
      <c r="CG415" s="12"/>
      <c r="CH415" s="12"/>
      <c r="CJ415" s="12"/>
      <c r="CK415" s="12"/>
      <c r="CL415" s="17"/>
      <c r="CM415" s="17"/>
      <c r="CN415" s="12"/>
      <c r="CO415" s="12"/>
      <c r="CT415"/>
      <c r="CV415" s="12"/>
      <c r="CW415" s="12"/>
      <c r="CZ415" s="12"/>
      <c r="DA415" s="12"/>
      <c r="DC415" s="12"/>
      <c r="DD415" s="12"/>
      <c r="DE415" s="17"/>
      <c r="DF415" s="17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X415" s="9"/>
      <c r="EY415" s="9"/>
      <c r="EZ415" s="9"/>
      <c r="FA415" s="15"/>
      <c r="FB415" s="14"/>
      <c r="FC415" s="10"/>
      <c r="FD415" s="10"/>
      <c r="FE415" s="10"/>
      <c r="FF415" s="10"/>
      <c r="FG415" s="10"/>
      <c r="FH415" s="10"/>
    </row>
    <row r="416" spans="2:164" x14ac:dyDescent="0.25">
      <c r="B416"/>
      <c r="C416"/>
      <c r="D416"/>
      <c r="E416"/>
      <c r="F416" s="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 s="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 s="12"/>
      <c r="AK416" s="12"/>
      <c r="AL416" s="17"/>
      <c r="AN416" s="17"/>
      <c r="AP416" s="17"/>
      <c r="AQ416" s="12"/>
      <c r="AR416" s="12"/>
      <c r="AT416" s="17"/>
      <c r="AU416" s="12"/>
      <c r="AV416" s="12"/>
      <c r="AW416" s="17"/>
      <c r="AX416" s="12"/>
      <c r="AY416" s="12"/>
      <c r="BA416" s="12"/>
      <c r="BB416" s="12"/>
      <c r="BD416" s="12"/>
      <c r="BE416" s="12"/>
      <c r="BG416" s="12"/>
      <c r="BH416" s="12"/>
      <c r="BJ416" s="12"/>
      <c r="BK416" s="12"/>
      <c r="BM416" s="12"/>
      <c r="BN416" s="12"/>
      <c r="BQ416" s="12"/>
      <c r="BR416" s="12"/>
      <c r="BU416" s="12"/>
      <c r="BV416" s="12"/>
      <c r="BY416" s="12"/>
      <c r="BZ416" s="12"/>
      <c r="CC416" s="12"/>
      <c r="CD416" s="12"/>
      <c r="CG416" s="12"/>
      <c r="CH416" s="12"/>
      <c r="CJ416" s="12"/>
      <c r="CK416" s="12"/>
      <c r="CN416" s="12"/>
      <c r="CO416" s="12"/>
      <c r="CT416"/>
      <c r="CV416" s="12"/>
      <c r="CW416" s="12"/>
      <c r="CZ416" s="12"/>
      <c r="DA416" s="12"/>
      <c r="DC416" s="12"/>
      <c r="DD416" s="12"/>
      <c r="DE416" s="17"/>
      <c r="DF416" s="17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X416" s="9"/>
      <c r="EY416" s="9"/>
      <c r="EZ416" s="9"/>
      <c r="FA416" s="15"/>
      <c r="FB416" s="14"/>
      <c r="FC416" s="10"/>
      <c r="FD416" s="10"/>
      <c r="FE416" s="10"/>
      <c r="FF416" s="10"/>
      <c r="FG416" s="10"/>
      <c r="FH416" s="10"/>
    </row>
    <row r="417" spans="2:164" x14ac:dyDescent="0.25">
      <c r="B417"/>
      <c r="C417"/>
      <c r="D417"/>
      <c r="E417"/>
      <c r="F417" s="16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 s="16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 s="12"/>
      <c r="AK417" s="12"/>
      <c r="AL417" s="17"/>
      <c r="AN417" s="17"/>
      <c r="AP417" s="17"/>
      <c r="AQ417" s="12"/>
      <c r="AR417" s="12"/>
      <c r="AT417" s="17"/>
      <c r="AU417" s="12"/>
      <c r="AV417" s="12"/>
      <c r="AW417" s="17"/>
      <c r="AX417" s="12"/>
      <c r="AY417" s="12"/>
      <c r="BA417" s="12"/>
      <c r="BB417" s="12"/>
      <c r="BD417" s="12"/>
      <c r="BE417" s="12"/>
      <c r="BG417" s="12"/>
      <c r="BH417" s="12"/>
      <c r="BJ417" s="12"/>
      <c r="BK417" s="12"/>
      <c r="BM417" s="12"/>
      <c r="BN417" s="12"/>
      <c r="BO417" s="17"/>
      <c r="BQ417" s="12"/>
      <c r="BR417" s="12"/>
      <c r="BU417" s="12"/>
      <c r="BV417" s="12"/>
      <c r="BW417" s="17"/>
      <c r="BX417" s="17"/>
      <c r="BY417" s="12"/>
      <c r="BZ417" s="12"/>
      <c r="CC417" s="12"/>
      <c r="CD417" s="12"/>
      <c r="CG417" s="12"/>
      <c r="CH417" s="12"/>
      <c r="CJ417" s="12"/>
      <c r="CK417" s="12"/>
      <c r="CL417" s="17"/>
      <c r="CM417" s="17"/>
      <c r="CN417" s="12"/>
      <c r="CO417" s="12"/>
      <c r="CT417"/>
      <c r="CV417" s="12"/>
      <c r="CW417" s="12"/>
      <c r="CZ417" s="12"/>
      <c r="DA417" s="12"/>
      <c r="DC417" s="12"/>
      <c r="DD417" s="12"/>
      <c r="DF417" s="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X417" s="9"/>
      <c r="EY417" s="9"/>
      <c r="EZ417" s="9"/>
      <c r="FA417" s="15"/>
      <c r="FB417" s="14"/>
      <c r="FC417" s="10"/>
      <c r="FD417" s="10"/>
      <c r="FE417" s="10"/>
      <c r="FF417" s="10"/>
      <c r="FG417" s="10"/>
      <c r="FH417" s="10"/>
    </row>
    <row r="418" spans="2:164" x14ac:dyDescent="0.25">
      <c r="B418"/>
      <c r="C418"/>
      <c r="D418"/>
      <c r="E418"/>
      <c r="F418" s="16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 s="16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 s="12"/>
      <c r="AK418" s="12"/>
      <c r="AL418" s="17"/>
      <c r="AN418" s="17"/>
      <c r="AP418" s="17"/>
      <c r="AQ418" s="12"/>
      <c r="AR418" s="12"/>
      <c r="AT418" s="17"/>
      <c r="AU418" s="12"/>
      <c r="AV418" s="12"/>
      <c r="AW418" s="17"/>
      <c r="AX418" s="12"/>
      <c r="AY418" s="12"/>
      <c r="BA418" s="12"/>
      <c r="BB418" s="12"/>
      <c r="BD418" s="12"/>
      <c r="BE418" s="12"/>
      <c r="BG418" s="12"/>
      <c r="BH418" s="12"/>
      <c r="BJ418" s="12"/>
      <c r="BK418" s="12"/>
      <c r="BM418" s="12"/>
      <c r="BN418" s="12"/>
      <c r="BO418" s="17"/>
      <c r="BQ418" s="12"/>
      <c r="BR418" s="12"/>
      <c r="BU418" s="12"/>
      <c r="BV418" s="12"/>
      <c r="BW418" s="17"/>
      <c r="BX418" s="17"/>
      <c r="BY418" s="12"/>
      <c r="BZ418" s="12"/>
      <c r="CC418" s="12"/>
      <c r="CD418" s="12"/>
      <c r="CG418" s="12"/>
      <c r="CH418" s="12"/>
      <c r="CI418" s="17"/>
      <c r="CJ418" s="12"/>
      <c r="CK418" s="12"/>
      <c r="CN418" s="12"/>
      <c r="CO418" s="12"/>
      <c r="CT418"/>
      <c r="CV418" s="12"/>
      <c r="CW418" s="12"/>
      <c r="CZ418" s="12"/>
      <c r="DA418" s="12"/>
      <c r="DC418" s="12"/>
      <c r="DD418" s="12"/>
      <c r="DE418" s="17"/>
      <c r="DF418" s="17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X418" s="9"/>
      <c r="EY418" s="9"/>
      <c r="EZ418" s="9"/>
      <c r="FA418" s="15"/>
      <c r="FB418" s="14"/>
      <c r="FC418" s="10"/>
      <c r="FD418" s="10"/>
      <c r="FE418" s="10"/>
      <c r="FF418" s="10"/>
      <c r="FG418" s="10"/>
      <c r="FH418" s="10"/>
    </row>
    <row r="419" spans="2:164" x14ac:dyDescent="0.25">
      <c r="B419"/>
      <c r="C419"/>
      <c r="D419"/>
      <c r="E419"/>
      <c r="F419" s="16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 s="16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 s="12"/>
      <c r="AK419" s="12"/>
      <c r="AL419" s="17"/>
      <c r="AN419" s="17"/>
      <c r="AP419" s="17"/>
      <c r="AQ419" s="12"/>
      <c r="AR419" s="12"/>
      <c r="AT419" s="17"/>
      <c r="AU419" s="12"/>
      <c r="AV419" s="12"/>
      <c r="AW419" s="17"/>
      <c r="AX419" s="12"/>
      <c r="AY419" s="12"/>
      <c r="BA419" s="12"/>
      <c r="BB419" s="12"/>
      <c r="BC419" s="17"/>
      <c r="BD419" s="12"/>
      <c r="BE419" s="12"/>
      <c r="BG419" s="12"/>
      <c r="BH419" s="12"/>
      <c r="BJ419" s="12"/>
      <c r="BK419" s="12"/>
      <c r="BM419" s="12"/>
      <c r="BN419" s="12"/>
      <c r="BO419" s="17"/>
      <c r="BQ419" s="12"/>
      <c r="BR419" s="12"/>
      <c r="BU419" s="12"/>
      <c r="BV419" s="12"/>
      <c r="BW419" s="17"/>
      <c r="BX419" s="17"/>
      <c r="BY419" s="12"/>
      <c r="BZ419" s="12"/>
      <c r="CC419" s="12"/>
      <c r="CD419" s="12"/>
      <c r="CG419" s="12"/>
      <c r="CH419" s="12"/>
      <c r="CI419" s="17"/>
      <c r="CJ419" s="12"/>
      <c r="CK419" s="12"/>
      <c r="CN419" s="12"/>
      <c r="CO419" s="12"/>
      <c r="CT419"/>
      <c r="CV419" s="12"/>
      <c r="CW419" s="12"/>
      <c r="CZ419" s="12"/>
      <c r="DA419" s="12"/>
      <c r="DB419" s="17"/>
      <c r="DC419" s="12"/>
      <c r="DD419" s="12"/>
      <c r="DE419" s="17"/>
      <c r="DF419" s="17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X419" s="9"/>
      <c r="EY419" s="9"/>
      <c r="EZ419" s="9"/>
      <c r="FA419" s="15"/>
      <c r="FB419" s="14"/>
      <c r="FC419" s="10"/>
      <c r="FD419" s="10"/>
      <c r="FE419" s="10"/>
      <c r="FF419" s="10"/>
      <c r="FG419" s="10"/>
      <c r="FH419" s="10"/>
    </row>
    <row r="420" spans="2:164" x14ac:dyDescent="0.25">
      <c r="B420"/>
      <c r="C420"/>
      <c r="D420"/>
      <c r="E420"/>
      <c r="F420" s="16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 s="16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 s="12"/>
      <c r="AK420" s="12"/>
      <c r="AL420" s="17"/>
      <c r="AN420" s="17"/>
      <c r="AP420" s="17"/>
      <c r="AQ420" s="12"/>
      <c r="AR420" s="12"/>
      <c r="AT420" s="17"/>
      <c r="AU420" s="12"/>
      <c r="AV420" s="12"/>
      <c r="AW420" s="17"/>
      <c r="AX420" s="12"/>
      <c r="AY420" s="12"/>
      <c r="BA420" s="12"/>
      <c r="BB420" s="12"/>
      <c r="BD420" s="12"/>
      <c r="BE420" s="12"/>
      <c r="BG420" s="12"/>
      <c r="BH420" s="12"/>
      <c r="BJ420" s="12"/>
      <c r="BK420" s="12"/>
      <c r="BM420" s="12"/>
      <c r="BN420" s="12"/>
      <c r="BO420" s="17"/>
      <c r="BQ420" s="12"/>
      <c r="BR420" s="12"/>
      <c r="BS420" s="17"/>
      <c r="BT420" s="17"/>
      <c r="BU420" s="12"/>
      <c r="BV420" s="12"/>
      <c r="BY420" s="12"/>
      <c r="BZ420" s="12"/>
      <c r="CC420" s="12"/>
      <c r="CD420" s="12"/>
      <c r="CG420" s="12"/>
      <c r="CH420" s="12"/>
      <c r="CI420" s="17"/>
      <c r="CJ420" s="12"/>
      <c r="CK420" s="12"/>
      <c r="CN420" s="12"/>
      <c r="CO420" s="12"/>
      <c r="CT420"/>
      <c r="CV420" s="12"/>
      <c r="CW420" s="12"/>
      <c r="CZ420" s="12"/>
      <c r="DA420" s="12"/>
      <c r="DC420" s="12"/>
      <c r="DD420" s="12"/>
      <c r="DF420" s="17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X420" s="9"/>
      <c r="EY420" s="9"/>
      <c r="EZ420" s="9"/>
      <c r="FA420" s="15"/>
      <c r="FB420" s="14"/>
      <c r="FC420" s="10"/>
      <c r="FD420" s="10"/>
      <c r="FE420" s="10"/>
      <c r="FF420" s="10"/>
      <c r="FG420" s="10"/>
      <c r="FH420" s="10"/>
    </row>
    <row r="421" spans="2:164" x14ac:dyDescent="0.25">
      <c r="B421"/>
      <c r="C421"/>
      <c r="D421"/>
      <c r="E421"/>
      <c r="F421" s="16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 s="16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 s="12"/>
      <c r="AK421" s="12"/>
      <c r="AL421" s="17"/>
      <c r="AN421" s="17"/>
      <c r="AP421" s="17"/>
      <c r="AQ421" s="12"/>
      <c r="AR421" s="12"/>
      <c r="AT421" s="17"/>
      <c r="AU421" s="12"/>
      <c r="AV421" s="12"/>
      <c r="AW421" s="17"/>
      <c r="AX421" s="12"/>
      <c r="AY421" s="12"/>
      <c r="BA421" s="12"/>
      <c r="BB421" s="12"/>
      <c r="BD421" s="12"/>
      <c r="BE421" s="12"/>
      <c r="BG421" s="12"/>
      <c r="BH421" s="12"/>
      <c r="BJ421" s="12"/>
      <c r="BK421" s="12"/>
      <c r="BM421" s="12"/>
      <c r="BN421" s="12"/>
      <c r="BQ421" s="12"/>
      <c r="BR421" s="12"/>
      <c r="BU421" s="12"/>
      <c r="BV421" s="12"/>
      <c r="BY421" s="12"/>
      <c r="BZ421" s="12"/>
      <c r="CC421" s="12"/>
      <c r="CD421" s="12"/>
      <c r="CG421" s="12"/>
      <c r="CH421" s="12"/>
      <c r="CI421" s="17"/>
      <c r="CJ421" s="12"/>
      <c r="CK421" s="12"/>
      <c r="CN421" s="12"/>
      <c r="CO421" s="12"/>
      <c r="CT421"/>
      <c r="CV421" s="12"/>
      <c r="CW421" s="12"/>
      <c r="CZ421" s="12"/>
      <c r="DA421" s="12"/>
      <c r="DC421" s="12"/>
      <c r="DD421" s="12"/>
      <c r="DE421" s="17"/>
      <c r="DF421" s="17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X421" s="9"/>
      <c r="EY421" s="9"/>
      <c r="EZ421" s="9"/>
      <c r="FA421" s="15"/>
      <c r="FB421" s="14"/>
      <c r="FC421" s="10"/>
      <c r="FD421" s="10"/>
      <c r="FE421" s="10"/>
      <c r="FF421" s="10"/>
      <c r="FG421" s="10"/>
      <c r="FH421" s="10"/>
    </row>
    <row r="422" spans="2:164" x14ac:dyDescent="0.25">
      <c r="B422"/>
      <c r="C422"/>
      <c r="D422"/>
      <c r="E422"/>
      <c r="F422" s="16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 s="16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 s="12"/>
      <c r="AK422" s="12"/>
      <c r="AL422" s="17"/>
      <c r="AN422" s="17"/>
      <c r="AP422" s="17"/>
      <c r="AQ422" s="12"/>
      <c r="AR422" s="12"/>
      <c r="AT422" s="17"/>
      <c r="AU422" s="12"/>
      <c r="AV422" s="12"/>
      <c r="AW422" s="17"/>
      <c r="AX422" s="12"/>
      <c r="AY422" s="12"/>
      <c r="BA422" s="12"/>
      <c r="BB422" s="12"/>
      <c r="BD422" s="12"/>
      <c r="BE422" s="12"/>
      <c r="BG422" s="12"/>
      <c r="BH422" s="12"/>
      <c r="BJ422" s="12"/>
      <c r="BK422" s="12"/>
      <c r="BM422" s="12"/>
      <c r="BN422" s="12"/>
      <c r="BO422" s="17"/>
      <c r="BQ422" s="12"/>
      <c r="BR422" s="12"/>
      <c r="BU422" s="12"/>
      <c r="BV422" s="12"/>
      <c r="BY422" s="12"/>
      <c r="BZ422" s="12"/>
      <c r="CA422" s="17"/>
      <c r="CB422" s="17"/>
      <c r="CC422" s="12"/>
      <c r="CD422" s="12"/>
      <c r="CG422" s="12"/>
      <c r="CH422" s="12"/>
      <c r="CJ422" s="12"/>
      <c r="CK422" s="12"/>
      <c r="CN422" s="12"/>
      <c r="CO422" s="12"/>
      <c r="CT422"/>
      <c r="CV422" s="12"/>
      <c r="CW422" s="12"/>
      <c r="CZ422" s="12"/>
      <c r="DA422" s="12"/>
      <c r="DC422" s="12"/>
      <c r="DD422" s="12"/>
      <c r="DE422" s="17"/>
      <c r="DF422" s="17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X422" s="9"/>
      <c r="EY422" s="9"/>
      <c r="EZ422" s="9"/>
      <c r="FA422" s="15"/>
      <c r="FB422" s="14"/>
      <c r="FC422" s="10"/>
      <c r="FD422" s="10"/>
      <c r="FE422" s="10"/>
      <c r="FF422" s="10"/>
      <c r="FG422" s="10"/>
      <c r="FH422" s="10"/>
    </row>
    <row r="423" spans="2:164" x14ac:dyDescent="0.25">
      <c r="B423"/>
      <c r="C423"/>
      <c r="D423"/>
      <c r="E423"/>
      <c r="F423" s="16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 s="16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 s="12"/>
      <c r="AK423" s="12"/>
      <c r="AL423" s="17"/>
      <c r="AN423" s="17"/>
      <c r="AP423" s="17"/>
      <c r="AQ423" s="12"/>
      <c r="AR423" s="12"/>
      <c r="AT423" s="17"/>
      <c r="AU423" s="12"/>
      <c r="AV423" s="12"/>
      <c r="AW423" s="17"/>
      <c r="AX423" s="12"/>
      <c r="AY423" s="12"/>
      <c r="BA423" s="12"/>
      <c r="BB423" s="12"/>
      <c r="BD423" s="12"/>
      <c r="BE423" s="12"/>
      <c r="BG423" s="12"/>
      <c r="BH423" s="12"/>
      <c r="BJ423" s="12"/>
      <c r="BK423" s="12"/>
      <c r="BM423" s="12"/>
      <c r="BN423" s="12"/>
      <c r="BO423" s="17"/>
      <c r="BQ423" s="12"/>
      <c r="BR423" s="12"/>
      <c r="BU423" s="12"/>
      <c r="BV423" s="12"/>
      <c r="BW423" s="17"/>
      <c r="BX423" s="17"/>
      <c r="BY423" s="12"/>
      <c r="BZ423" s="12"/>
      <c r="CC423" s="12"/>
      <c r="CD423" s="12"/>
      <c r="CG423" s="12"/>
      <c r="CH423" s="12"/>
      <c r="CI423" s="17"/>
      <c r="CJ423" s="12"/>
      <c r="CK423" s="12"/>
      <c r="CN423" s="12"/>
      <c r="CO423" s="12"/>
      <c r="CT423"/>
      <c r="CV423" s="12"/>
      <c r="CW423" s="12"/>
      <c r="CZ423" s="12"/>
      <c r="DA423" s="12"/>
      <c r="DC423" s="12"/>
      <c r="DD423" s="12"/>
      <c r="DE423" s="17"/>
      <c r="DF423" s="17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X423" s="9"/>
      <c r="EY423" s="9"/>
      <c r="EZ423" s="9"/>
      <c r="FA423" s="15"/>
      <c r="FB423" s="14"/>
      <c r="FC423" s="10"/>
      <c r="FD423" s="10"/>
      <c r="FE423" s="10"/>
      <c r="FF423" s="10"/>
      <c r="FG423" s="10"/>
      <c r="FH423" s="10"/>
    </row>
    <row r="424" spans="2:164" x14ac:dyDescent="0.25">
      <c r="B424"/>
      <c r="C424"/>
      <c r="D424"/>
      <c r="E424"/>
      <c r="F424" s="16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 s="16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 s="12"/>
      <c r="AK424" s="12"/>
      <c r="AL424" s="17"/>
      <c r="AN424" s="17"/>
      <c r="AP424" s="17"/>
      <c r="AQ424" s="12"/>
      <c r="AR424" s="12"/>
      <c r="AT424" s="17"/>
      <c r="AU424" s="12"/>
      <c r="AV424" s="12"/>
      <c r="AW424" s="17"/>
      <c r="AX424" s="12"/>
      <c r="AY424" s="12"/>
      <c r="BA424" s="12"/>
      <c r="BB424" s="12"/>
      <c r="BD424" s="12"/>
      <c r="BE424" s="12"/>
      <c r="BG424" s="12"/>
      <c r="BH424" s="12"/>
      <c r="BJ424" s="12"/>
      <c r="BK424" s="12"/>
      <c r="BM424" s="12"/>
      <c r="BN424" s="12"/>
      <c r="BO424" s="17"/>
      <c r="BQ424" s="12"/>
      <c r="BR424" s="12"/>
      <c r="BU424" s="12"/>
      <c r="BV424" s="12"/>
      <c r="BY424" s="12"/>
      <c r="BZ424" s="12"/>
      <c r="CC424" s="12"/>
      <c r="CD424" s="12"/>
      <c r="CG424" s="12"/>
      <c r="CH424" s="12"/>
      <c r="CJ424" s="12"/>
      <c r="CK424" s="12"/>
      <c r="CN424" s="12"/>
      <c r="CO424" s="12"/>
      <c r="CT424"/>
      <c r="CV424" s="12"/>
      <c r="CW424" s="12"/>
      <c r="CZ424" s="12"/>
      <c r="DA424" s="12"/>
      <c r="DC424" s="12"/>
      <c r="DD424" s="12"/>
      <c r="DE424" s="17"/>
      <c r="DF424" s="17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X424" s="9"/>
      <c r="EY424" s="9"/>
      <c r="EZ424" s="9"/>
      <c r="FA424" s="15"/>
      <c r="FB424" s="14"/>
      <c r="FC424" s="10"/>
      <c r="FD424" s="10"/>
      <c r="FE424" s="10"/>
      <c r="FF424" s="10"/>
      <c r="FG424" s="10"/>
      <c r="FH424" s="10"/>
    </row>
    <row r="425" spans="2:164" x14ac:dyDescent="0.25">
      <c r="B425"/>
      <c r="C425"/>
      <c r="D425"/>
      <c r="E425"/>
      <c r="F425" s="16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 s="16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 s="12"/>
      <c r="AK425" s="12"/>
      <c r="AL425" s="17"/>
      <c r="AN425" s="17"/>
      <c r="AP425" s="17"/>
      <c r="AQ425" s="12"/>
      <c r="AR425" s="12"/>
      <c r="AT425" s="17"/>
      <c r="AU425" s="12"/>
      <c r="AV425" s="12"/>
      <c r="AW425" s="17"/>
      <c r="AX425" s="12"/>
      <c r="AY425" s="12"/>
      <c r="BA425" s="12"/>
      <c r="BB425" s="12"/>
      <c r="BD425" s="12"/>
      <c r="BE425" s="12"/>
      <c r="BG425" s="12"/>
      <c r="BH425" s="12"/>
      <c r="BJ425" s="12"/>
      <c r="BK425" s="12"/>
      <c r="BM425" s="12"/>
      <c r="BN425" s="12"/>
      <c r="BO425" s="17"/>
      <c r="BQ425" s="12"/>
      <c r="BR425" s="12"/>
      <c r="BS425" s="17"/>
      <c r="BT425" s="17"/>
      <c r="BU425" s="12"/>
      <c r="BV425" s="12"/>
      <c r="BY425" s="12"/>
      <c r="BZ425" s="12"/>
      <c r="CC425" s="12"/>
      <c r="CD425" s="12"/>
      <c r="CG425" s="12"/>
      <c r="CH425" s="12"/>
      <c r="CJ425" s="12"/>
      <c r="CK425" s="12"/>
      <c r="CL425" s="17"/>
      <c r="CM425" s="17"/>
      <c r="CN425" s="12"/>
      <c r="CO425" s="12"/>
      <c r="CT425"/>
      <c r="CV425" s="12"/>
      <c r="CW425" s="12"/>
      <c r="CZ425" s="12"/>
      <c r="DA425" s="12"/>
      <c r="DC425" s="12"/>
      <c r="DD425" s="12"/>
      <c r="DF425" s="17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X425" s="9"/>
      <c r="EY425" s="9"/>
      <c r="EZ425" s="9"/>
      <c r="FA425" s="15"/>
      <c r="FB425" s="14"/>
      <c r="FC425" s="10"/>
      <c r="FD425" s="10"/>
      <c r="FE425" s="10"/>
      <c r="FF425" s="10"/>
      <c r="FG425" s="10"/>
      <c r="FH425" s="10"/>
    </row>
    <row r="426" spans="2:164" x14ac:dyDescent="0.25">
      <c r="B426"/>
      <c r="C426"/>
      <c r="D426"/>
      <c r="E426"/>
      <c r="F426" s="1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s="1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 s="12"/>
      <c r="AK426" s="12"/>
      <c r="AL426" s="17"/>
      <c r="AN426" s="17"/>
      <c r="AP426" s="17"/>
      <c r="AQ426" s="12"/>
      <c r="AR426" s="12"/>
      <c r="AT426" s="17"/>
      <c r="AU426" s="12"/>
      <c r="AV426" s="12"/>
      <c r="AW426" s="17"/>
      <c r="AX426" s="12"/>
      <c r="AY426" s="12"/>
      <c r="BA426" s="12"/>
      <c r="BB426" s="12"/>
      <c r="BD426" s="12"/>
      <c r="BE426" s="12"/>
      <c r="BG426" s="12"/>
      <c r="BH426" s="12"/>
      <c r="BJ426" s="12"/>
      <c r="BK426" s="12"/>
      <c r="BM426" s="12"/>
      <c r="BN426" s="12"/>
      <c r="BO426" s="17"/>
      <c r="BQ426" s="12"/>
      <c r="BR426" s="12"/>
      <c r="BU426" s="12"/>
      <c r="BV426" s="12"/>
      <c r="BW426" s="17"/>
      <c r="BX426" s="17"/>
      <c r="BY426" s="12"/>
      <c r="BZ426" s="12"/>
      <c r="CC426" s="12"/>
      <c r="CD426" s="12"/>
      <c r="CG426" s="12"/>
      <c r="CH426" s="12"/>
      <c r="CJ426" s="12"/>
      <c r="CK426" s="12"/>
      <c r="CL426" s="17"/>
      <c r="CM426" s="17"/>
      <c r="CN426" s="12"/>
      <c r="CO426" s="12"/>
      <c r="CT426"/>
      <c r="CV426" s="12"/>
      <c r="CW426" s="12"/>
      <c r="CZ426" s="12"/>
      <c r="DA426" s="12"/>
      <c r="DC426" s="12"/>
      <c r="DD426" s="12"/>
      <c r="DF426" s="17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X426" s="9"/>
      <c r="EY426" s="9"/>
      <c r="EZ426" s="9"/>
      <c r="FA426" s="15"/>
      <c r="FB426" s="14"/>
      <c r="FC426" s="10"/>
      <c r="FD426" s="10"/>
      <c r="FE426" s="10"/>
      <c r="FF426" s="10"/>
      <c r="FG426" s="10"/>
      <c r="FH426" s="10"/>
    </row>
    <row r="427" spans="2:164" x14ac:dyDescent="0.25">
      <c r="B427"/>
      <c r="C427"/>
      <c r="D427"/>
      <c r="E427"/>
      <c r="F427" s="16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s="16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 s="12"/>
      <c r="AK427" s="12"/>
      <c r="AL427" s="17"/>
      <c r="AN427" s="17"/>
      <c r="AP427" s="17"/>
      <c r="AQ427" s="12"/>
      <c r="AR427" s="12"/>
      <c r="AT427" s="17"/>
      <c r="AU427" s="12"/>
      <c r="AV427" s="12"/>
      <c r="AW427" s="17"/>
      <c r="AX427" s="12"/>
      <c r="AY427" s="12"/>
      <c r="BA427" s="12"/>
      <c r="BB427" s="12"/>
      <c r="BD427" s="12"/>
      <c r="BE427" s="12"/>
      <c r="BG427" s="12"/>
      <c r="BH427" s="12"/>
      <c r="BJ427" s="12"/>
      <c r="BK427" s="12"/>
      <c r="BM427" s="12"/>
      <c r="BN427" s="12"/>
      <c r="BO427" s="17"/>
      <c r="BQ427" s="12"/>
      <c r="BR427" s="12"/>
      <c r="BU427" s="12"/>
      <c r="BV427" s="12"/>
      <c r="BY427" s="12"/>
      <c r="BZ427" s="12"/>
      <c r="CA427" s="17"/>
      <c r="CB427" s="17"/>
      <c r="CC427" s="12"/>
      <c r="CD427" s="12"/>
      <c r="CG427" s="12"/>
      <c r="CH427" s="12"/>
      <c r="CJ427" s="12"/>
      <c r="CK427" s="12"/>
      <c r="CN427" s="12"/>
      <c r="CO427" s="12"/>
      <c r="CT427"/>
      <c r="CV427" s="12"/>
      <c r="CW427" s="12"/>
      <c r="CZ427" s="12"/>
      <c r="DA427" s="12"/>
      <c r="DC427" s="12"/>
      <c r="DD427" s="12"/>
      <c r="DF427" s="1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X427" s="9"/>
      <c r="EY427" s="9"/>
      <c r="EZ427" s="9"/>
      <c r="FA427" s="15"/>
      <c r="FB427" s="14"/>
      <c r="FC427" s="10"/>
      <c r="FD427" s="10"/>
      <c r="FE427" s="10"/>
      <c r="FF427" s="10"/>
      <c r="FG427" s="10"/>
      <c r="FH427" s="10"/>
    </row>
    <row r="428" spans="2:164" x14ac:dyDescent="0.25">
      <c r="B428"/>
      <c r="C428"/>
      <c r="D428"/>
      <c r="E428"/>
      <c r="F428" s="16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 s="16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 s="12"/>
      <c r="AK428" s="12"/>
      <c r="AL428" s="17"/>
      <c r="AN428" s="17"/>
      <c r="AP428" s="17"/>
      <c r="AQ428" s="12"/>
      <c r="AR428" s="12"/>
      <c r="AT428" s="17"/>
      <c r="AU428" s="12"/>
      <c r="AV428" s="12"/>
      <c r="AW428" s="17"/>
      <c r="AX428" s="12"/>
      <c r="AY428" s="12"/>
      <c r="BA428" s="12"/>
      <c r="BB428" s="12"/>
      <c r="BD428" s="12"/>
      <c r="BE428" s="12"/>
      <c r="BG428" s="12"/>
      <c r="BH428" s="12"/>
      <c r="BJ428" s="12"/>
      <c r="BK428" s="12"/>
      <c r="BM428" s="12"/>
      <c r="BN428" s="12"/>
      <c r="BO428" s="17"/>
      <c r="BQ428" s="12"/>
      <c r="BR428" s="12"/>
      <c r="BU428" s="12"/>
      <c r="BV428" s="12"/>
      <c r="BY428" s="12"/>
      <c r="BZ428" s="12"/>
      <c r="CA428" s="17"/>
      <c r="CB428" s="17"/>
      <c r="CC428" s="12"/>
      <c r="CD428" s="12"/>
      <c r="CG428" s="12"/>
      <c r="CH428" s="12"/>
      <c r="CJ428" s="12"/>
      <c r="CK428" s="12"/>
      <c r="CN428" s="12"/>
      <c r="CO428" s="12"/>
      <c r="CT428"/>
      <c r="CV428" s="12"/>
      <c r="CW428" s="12"/>
      <c r="CZ428" s="12"/>
      <c r="DA428" s="12"/>
      <c r="DC428" s="12"/>
      <c r="DD428" s="12"/>
      <c r="DF428" s="17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X428" s="9"/>
      <c r="EY428" s="9"/>
      <c r="EZ428" s="9"/>
      <c r="FA428" s="15"/>
      <c r="FB428" s="14"/>
      <c r="FC428" s="10"/>
      <c r="FD428" s="10"/>
      <c r="FE428" s="10"/>
      <c r="FF428" s="10"/>
      <c r="FG428" s="10"/>
      <c r="FH428" s="10"/>
    </row>
    <row r="429" spans="2:164" x14ac:dyDescent="0.25">
      <c r="B429"/>
      <c r="C429"/>
      <c r="D429"/>
      <c r="E429"/>
      <c r="F429" s="16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 s="16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 s="12"/>
      <c r="AK429" s="12"/>
      <c r="AL429" s="17"/>
      <c r="AN429" s="17"/>
      <c r="AP429" s="17"/>
      <c r="AQ429" s="12"/>
      <c r="AR429" s="12"/>
      <c r="AT429" s="17"/>
      <c r="AU429" s="12"/>
      <c r="AV429" s="12"/>
      <c r="AW429" s="17"/>
      <c r="AX429" s="12"/>
      <c r="AY429" s="12"/>
      <c r="BA429" s="12"/>
      <c r="BB429" s="12"/>
      <c r="BD429" s="12"/>
      <c r="BE429" s="12"/>
      <c r="BG429" s="12"/>
      <c r="BH429" s="12"/>
      <c r="BJ429" s="12"/>
      <c r="BK429" s="12"/>
      <c r="BM429" s="12"/>
      <c r="BN429" s="12"/>
      <c r="BO429" s="17"/>
      <c r="BQ429" s="12"/>
      <c r="BR429" s="12"/>
      <c r="BU429" s="12"/>
      <c r="BV429" s="12"/>
      <c r="BW429" s="17"/>
      <c r="BX429" s="17"/>
      <c r="BY429" s="12"/>
      <c r="BZ429" s="12"/>
      <c r="CC429" s="12"/>
      <c r="CD429" s="12"/>
      <c r="CG429" s="12"/>
      <c r="CH429" s="12"/>
      <c r="CJ429" s="12"/>
      <c r="CK429" s="12"/>
      <c r="CL429" s="17"/>
      <c r="CM429" s="17"/>
      <c r="CN429" s="12"/>
      <c r="CO429" s="12"/>
      <c r="CT429"/>
      <c r="CV429" s="12"/>
      <c r="CW429" s="12"/>
      <c r="CZ429" s="12"/>
      <c r="DA429" s="12"/>
      <c r="DC429" s="12"/>
      <c r="DD429" s="12"/>
      <c r="DF429" s="17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X429" s="9"/>
      <c r="EY429" s="9"/>
      <c r="EZ429" s="9"/>
      <c r="FA429" s="15"/>
      <c r="FB429" s="14"/>
      <c r="FC429" s="10"/>
      <c r="FD429" s="10"/>
      <c r="FE429" s="10"/>
      <c r="FF429" s="10"/>
      <c r="FG429" s="10"/>
      <c r="FH429" s="10"/>
    </row>
    <row r="430" spans="2:164" x14ac:dyDescent="0.25">
      <c r="B430"/>
      <c r="C430"/>
      <c r="D430"/>
      <c r="E430"/>
      <c r="F430" s="16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 s="16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 s="12"/>
      <c r="AK430" s="12"/>
      <c r="AL430" s="17"/>
      <c r="AN430" s="17"/>
      <c r="AP430" s="17"/>
      <c r="AQ430" s="12"/>
      <c r="AR430" s="12"/>
      <c r="AT430" s="17"/>
      <c r="AU430" s="12"/>
      <c r="AV430" s="12"/>
      <c r="AW430" s="17"/>
      <c r="AX430" s="12"/>
      <c r="AY430" s="12"/>
      <c r="BA430" s="12"/>
      <c r="BB430" s="12"/>
      <c r="BD430" s="12"/>
      <c r="BE430" s="12"/>
      <c r="BG430" s="12"/>
      <c r="BH430" s="12"/>
      <c r="BJ430" s="12"/>
      <c r="BK430" s="12"/>
      <c r="BM430" s="12"/>
      <c r="BN430" s="12"/>
      <c r="BO430" s="17"/>
      <c r="BQ430" s="12"/>
      <c r="BR430" s="12"/>
      <c r="BU430" s="12"/>
      <c r="BV430" s="12"/>
      <c r="BW430" s="17"/>
      <c r="BX430" s="17"/>
      <c r="BY430" s="12"/>
      <c r="BZ430" s="12"/>
      <c r="CC430" s="12"/>
      <c r="CD430" s="12"/>
      <c r="CG430" s="12"/>
      <c r="CH430" s="12"/>
      <c r="CI430" s="17"/>
      <c r="CJ430" s="12"/>
      <c r="CK430" s="12"/>
      <c r="CN430" s="12"/>
      <c r="CO430" s="12"/>
      <c r="CT430"/>
      <c r="CV430" s="12"/>
      <c r="CW430" s="12"/>
      <c r="CZ430" s="12"/>
      <c r="DA430" s="12"/>
      <c r="DC430" s="12"/>
      <c r="DD430" s="12"/>
      <c r="DE430" s="17"/>
      <c r="DF430" s="17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X430" s="9"/>
      <c r="EY430" s="9"/>
      <c r="EZ430" s="9"/>
      <c r="FA430" s="15"/>
      <c r="FB430" s="14"/>
      <c r="FC430" s="10"/>
      <c r="FD430" s="10"/>
      <c r="FE430" s="10"/>
      <c r="FF430" s="10"/>
      <c r="FG430" s="10"/>
      <c r="FH430" s="10"/>
    </row>
    <row r="431" spans="2:164" x14ac:dyDescent="0.25">
      <c r="B431"/>
      <c r="C431"/>
      <c r="D431"/>
      <c r="E431"/>
      <c r="F431" s="16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s="16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 s="12"/>
      <c r="AK431" s="12"/>
      <c r="AL431" s="17"/>
      <c r="AN431" s="17"/>
      <c r="AP431" s="17"/>
      <c r="AQ431" s="12"/>
      <c r="AR431" s="12"/>
      <c r="AT431" s="17"/>
      <c r="AU431" s="12"/>
      <c r="AV431" s="12"/>
      <c r="AW431" s="17"/>
      <c r="AX431" s="12"/>
      <c r="AY431" s="12"/>
      <c r="BA431" s="12"/>
      <c r="BB431" s="12"/>
      <c r="BD431" s="12"/>
      <c r="BE431" s="12"/>
      <c r="BG431" s="12"/>
      <c r="BH431" s="12"/>
      <c r="BJ431" s="12"/>
      <c r="BK431" s="12"/>
      <c r="BM431" s="12"/>
      <c r="BN431" s="12"/>
      <c r="BO431" s="17"/>
      <c r="BQ431" s="12"/>
      <c r="BR431" s="12"/>
      <c r="BS431" s="17"/>
      <c r="BT431" s="17"/>
      <c r="BU431" s="12"/>
      <c r="BV431" s="12"/>
      <c r="BY431" s="12"/>
      <c r="BZ431" s="12"/>
      <c r="CC431" s="12"/>
      <c r="CD431" s="12"/>
      <c r="CG431" s="12"/>
      <c r="CH431" s="12"/>
      <c r="CI431" s="17"/>
      <c r="CJ431" s="12"/>
      <c r="CK431" s="12"/>
      <c r="CN431" s="12"/>
      <c r="CO431" s="12"/>
      <c r="CT431"/>
      <c r="CV431" s="12"/>
      <c r="CW431" s="12"/>
      <c r="CZ431" s="12"/>
      <c r="DA431" s="12"/>
      <c r="DC431" s="12"/>
      <c r="DD431" s="12"/>
      <c r="DE431" s="17"/>
      <c r="DF431" s="17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X431" s="9"/>
      <c r="EY431" s="9"/>
      <c r="EZ431" s="9"/>
      <c r="FA431" s="15"/>
      <c r="FB431" s="14"/>
      <c r="FC431" s="10"/>
      <c r="FD431" s="10"/>
      <c r="FE431" s="10"/>
      <c r="FF431" s="10"/>
      <c r="FG431" s="10"/>
      <c r="FH431" s="10"/>
    </row>
    <row r="432" spans="2:164" x14ac:dyDescent="0.25">
      <c r="B432"/>
      <c r="C432"/>
      <c r="D432"/>
      <c r="E432"/>
      <c r="F432" s="16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 s="16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 s="12"/>
      <c r="AK432" s="12"/>
      <c r="AL432" s="17"/>
      <c r="AN432" s="17"/>
      <c r="AP432" s="17"/>
      <c r="AQ432" s="12"/>
      <c r="AR432" s="12"/>
      <c r="AT432" s="17"/>
      <c r="AU432" s="12"/>
      <c r="AV432" s="12"/>
      <c r="AW432" s="17"/>
      <c r="AX432" s="12"/>
      <c r="AY432" s="12"/>
      <c r="BA432" s="12"/>
      <c r="BB432" s="12"/>
      <c r="BD432" s="12"/>
      <c r="BE432" s="12"/>
      <c r="BG432" s="12"/>
      <c r="BH432" s="12"/>
      <c r="BJ432" s="12"/>
      <c r="BK432" s="12"/>
      <c r="BM432" s="12"/>
      <c r="BN432" s="12"/>
      <c r="BO432" s="17"/>
      <c r="BQ432" s="12"/>
      <c r="BR432" s="12"/>
      <c r="BU432" s="12"/>
      <c r="BV432" s="12"/>
      <c r="BW432" s="17"/>
      <c r="BX432" s="17"/>
      <c r="BY432" s="12"/>
      <c r="BZ432" s="12"/>
      <c r="CC432" s="12"/>
      <c r="CD432" s="12"/>
      <c r="CG432" s="12"/>
      <c r="CH432" s="12"/>
      <c r="CI432" s="17"/>
      <c r="CJ432" s="12"/>
      <c r="CK432" s="12"/>
      <c r="CN432" s="12"/>
      <c r="CO432" s="12"/>
      <c r="CT432"/>
      <c r="CV432" s="12"/>
      <c r="CW432" s="12"/>
      <c r="CZ432" s="12"/>
      <c r="DA432" s="12"/>
      <c r="DC432" s="12"/>
      <c r="DD432" s="12"/>
      <c r="DE432" s="17"/>
      <c r="DF432" s="17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X432" s="9"/>
      <c r="EY432" s="9"/>
      <c r="EZ432" s="9"/>
      <c r="FA432" s="15"/>
      <c r="FB432" s="14"/>
      <c r="FC432" s="10"/>
      <c r="FD432" s="10"/>
      <c r="FE432" s="10"/>
      <c r="FF432" s="10"/>
      <c r="FG432" s="10"/>
      <c r="FH432" s="10"/>
    </row>
    <row r="433" spans="2:164" x14ac:dyDescent="0.25">
      <c r="B433"/>
      <c r="C433"/>
      <c r="D433"/>
      <c r="E433"/>
      <c r="F433" s="16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 s="16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 s="12"/>
      <c r="AK433" s="12"/>
      <c r="AL433" s="17"/>
      <c r="AN433" s="17"/>
      <c r="AP433" s="17"/>
      <c r="AQ433" s="12"/>
      <c r="AR433" s="12"/>
      <c r="AT433" s="17"/>
      <c r="AU433" s="12"/>
      <c r="AV433" s="12"/>
      <c r="AW433" s="17"/>
      <c r="AX433" s="12"/>
      <c r="AY433" s="12"/>
      <c r="BA433" s="12"/>
      <c r="BB433" s="12"/>
      <c r="BD433" s="12"/>
      <c r="BE433" s="12"/>
      <c r="BG433" s="12"/>
      <c r="BH433" s="12"/>
      <c r="BJ433" s="12"/>
      <c r="BK433" s="12"/>
      <c r="BM433" s="12"/>
      <c r="BN433" s="12"/>
      <c r="BO433" s="17"/>
      <c r="BQ433" s="12"/>
      <c r="BR433" s="12"/>
      <c r="BS433" s="17"/>
      <c r="BT433" s="17"/>
      <c r="BU433" s="12"/>
      <c r="BV433" s="12"/>
      <c r="BY433" s="12"/>
      <c r="BZ433" s="12"/>
      <c r="CC433" s="12"/>
      <c r="CD433" s="12"/>
      <c r="CG433" s="12"/>
      <c r="CH433" s="12"/>
      <c r="CJ433" s="12"/>
      <c r="CK433" s="12"/>
      <c r="CN433" s="12"/>
      <c r="CO433" s="12"/>
      <c r="CT433"/>
      <c r="CV433" s="12"/>
      <c r="CW433" s="12"/>
      <c r="CZ433" s="12"/>
      <c r="DA433" s="12"/>
      <c r="DC433" s="12"/>
      <c r="DD433" s="12"/>
      <c r="DE433" s="17"/>
      <c r="DF433" s="17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X433" s="9"/>
      <c r="EY433" s="9"/>
      <c r="EZ433" s="9"/>
      <c r="FA433" s="15"/>
      <c r="FB433" s="14"/>
      <c r="FC433" s="10"/>
      <c r="FD433" s="10"/>
      <c r="FE433" s="10"/>
      <c r="FF433" s="10"/>
      <c r="FG433" s="10"/>
      <c r="FH433" s="10"/>
    </row>
    <row r="434" spans="2:164" x14ac:dyDescent="0.25">
      <c r="B434"/>
      <c r="C434"/>
      <c r="D434"/>
      <c r="E434"/>
      <c r="F434" s="16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 s="16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 s="12"/>
      <c r="AK434" s="12"/>
      <c r="AL434" s="17"/>
      <c r="AN434" s="17"/>
      <c r="AP434" s="17"/>
      <c r="AQ434" s="12"/>
      <c r="AR434" s="12"/>
      <c r="AT434" s="17"/>
      <c r="AU434" s="12"/>
      <c r="AV434" s="12"/>
      <c r="AW434" s="17"/>
      <c r="AX434" s="12"/>
      <c r="AY434" s="12"/>
      <c r="BA434" s="12"/>
      <c r="BB434" s="12"/>
      <c r="BD434" s="12"/>
      <c r="BE434" s="12"/>
      <c r="BG434" s="12"/>
      <c r="BH434" s="12"/>
      <c r="BJ434" s="12"/>
      <c r="BK434" s="12"/>
      <c r="BM434" s="12"/>
      <c r="BN434" s="12"/>
      <c r="BO434" s="17"/>
      <c r="BQ434" s="12"/>
      <c r="BR434" s="12"/>
      <c r="BU434" s="12"/>
      <c r="BV434" s="12"/>
      <c r="BY434" s="12"/>
      <c r="BZ434" s="12"/>
      <c r="CA434" s="17"/>
      <c r="CB434" s="17"/>
      <c r="CC434" s="12"/>
      <c r="CD434" s="12"/>
      <c r="CG434" s="12"/>
      <c r="CH434" s="12"/>
      <c r="CJ434" s="12"/>
      <c r="CK434" s="12"/>
      <c r="CN434" s="12"/>
      <c r="CO434" s="12"/>
      <c r="CT434"/>
      <c r="CV434" s="12"/>
      <c r="CW434" s="12"/>
      <c r="CZ434" s="12"/>
      <c r="DA434" s="12"/>
      <c r="DC434" s="12"/>
      <c r="DD434" s="12"/>
      <c r="DE434" s="17"/>
      <c r="DF434" s="17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X434" s="9"/>
      <c r="EY434" s="9"/>
      <c r="EZ434" s="9"/>
      <c r="FA434" s="15"/>
      <c r="FB434" s="14"/>
      <c r="FC434" s="10"/>
      <c r="FD434" s="10"/>
      <c r="FE434" s="10"/>
      <c r="FF434" s="10"/>
      <c r="FG434" s="10"/>
      <c r="FH434" s="10"/>
    </row>
    <row r="435" spans="2:164" x14ac:dyDescent="0.25">
      <c r="B435"/>
      <c r="C435"/>
      <c r="D435"/>
      <c r="E435"/>
      <c r="F435" s="16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 s="16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 s="12"/>
      <c r="AK435" s="12"/>
      <c r="AL435" s="17"/>
      <c r="AN435" s="17"/>
      <c r="AP435" s="17"/>
      <c r="AQ435" s="12"/>
      <c r="AR435" s="12"/>
      <c r="AT435" s="17"/>
      <c r="AU435" s="12"/>
      <c r="AV435" s="12"/>
      <c r="AW435" s="17"/>
      <c r="AX435" s="12"/>
      <c r="AY435" s="12"/>
      <c r="BA435" s="12"/>
      <c r="BB435" s="12"/>
      <c r="BD435" s="12"/>
      <c r="BE435" s="12"/>
      <c r="BG435" s="12"/>
      <c r="BH435" s="12"/>
      <c r="BJ435" s="12"/>
      <c r="BK435" s="12"/>
      <c r="BM435" s="12"/>
      <c r="BN435" s="12"/>
      <c r="BO435" s="17"/>
      <c r="BQ435" s="12"/>
      <c r="BR435" s="12"/>
      <c r="BU435" s="12"/>
      <c r="BV435" s="12"/>
      <c r="BY435" s="12"/>
      <c r="BZ435" s="12"/>
      <c r="CA435" s="17"/>
      <c r="CB435" s="17"/>
      <c r="CC435" s="12"/>
      <c r="CD435" s="12"/>
      <c r="CG435" s="12"/>
      <c r="CH435" s="12"/>
      <c r="CJ435" s="12"/>
      <c r="CK435" s="12"/>
      <c r="CN435" s="12"/>
      <c r="CO435" s="12"/>
      <c r="CT435"/>
      <c r="CV435" s="12"/>
      <c r="CW435" s="12"/>
      <c r="CZ435" s="12"/>
      <c r="DA435" s="12"/>
      <c r="DC435" s="12"/>
      <c r="DD435" s="12"/>
      <c r="DE435" s="17"/>
      <c r="DF435" s="17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X435" s="9"/>
      <c r="EY435" s="9"/>
      <c r="EZ435" s="9"/>
      <c r="FA435" s="15"/>
      <c r="FB435" s="14"/>
      <c r="FC435" s="10"/>
      <c r="FD435" s="10"/>
      <c r="FE435" s="10"/>
      <c r="FF435" s="10"/>
      <c r="FG435" s="10"/>
      <c r="FH435" s="10"/>
    </row>
    <row r="436" spans="2:164" x14ac:dyDescent="0.25">
      <c r="B436"/>
      <c r="C436"/>
      <c r="D436"/>
      <c r="E436"/>
      <c r="F436" s="1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s="1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 s="12"/>
      <c r="AK436" s="12"/>
      <c r="AL436" s="17"/>
      <c r="AN436" s="17"/>
      <c r="AP436" s="17"/>
      <c r="AQ436" s="12"/>
      <c r="AR436" s="12"/>
      <c r="AT436" s="17"/>
      <c r="AU436" s="12"/>
      <c r="AV436" s="12"/>
      <c r="AW436" s="17"/>
      <c r="AX436" s="12"/>
      <c r="AY436" s="12"/>
      <c r="BA436" s="12"/>
      <c r="BB436" s="12"/>
      <c r="BD436" s="12"/>
      <c r="BE436" s="12"/>
      <c r="BG436" s="12"/>
      <c r="BH436" s="12"/>
      <c r="BJ436" s="12"/>
      <c r="BK436" s="12"/>
      <c r="BM436" s="12"/>
      <c r="BN436" s="12"/>
      <c r="BO436" s="17"/>
      <c r="BQ436" s="12"/>
      <c r="BR436" s="12"/>
      <c r="BU436" s="12"/>
      <c r="BV436" s="12"/>
      <c r="BY436" s="12"/>
      <c r="BZ436" s="12"/>
      <c r="CC436" s="12"/>
      <c r="CD436" s="12"/>
      <c r="CG436" s="12"/>
      <c r="CH436" s="12"/>
      <c r="CI436" s="17"/>
      <c r="CJ436" s="12"/>
      <c r="CK436" s="12"/>
      <c r="CN436" s="12"/>
      <c r="CO436" s="12"/>
      <c r="CT436"/>
      <c r="CV436" s="12"/>
      <c r="CW436" s="12"/>
      <c r="CZ436" s="12"/>
      <c r="DA436" s="12"/>
      <c r="DC436" s="12"/>
      <c r="DD436" s="12"/>
      <c r="DF436" s="17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X436" s="9"/>
      <c r="EY436" s="9"/>
      <c r="EZ436" s="9"/>
      <c r="FA436" s="15"/>
      <c r="FB436" s="14"/>
      <c r="FC436" s="10"/>
      <c r="FD436" s="10"/>
      <c r="FE436" s="10"/>
      <c r="FF436" s="10"/>
      <c r="FG436" s="10"/>
      <c r="FH436" s="10"/>
    </row>
    <row r="437" spans="2:164" x14ac:dyDescent="0.25">
      <c r="B437"/>
      <c r="C437"/>
      <c r="D437"/>
      <c r="E437"/>
      <c r="F437" s="16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 s="16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 s="12"/>
      <c r="AK437" s="12"/>
      <c r="AL437" s="17"/>
      <c r="AN437" s="17"/>
      <c r="AP437" s="17"/>
      <c r="AQ437" s="12"/>
      <c r="AR437" s="12"/>
      <c r="AT437" s="17"/>
      <c r="AU437" s="12"/>
      <c r="AV437" s="12"/>
      <c r="AW437" s="17"/>
      <c r="AX437" s="12"/>
      <c r="AY437" s="12"/>
      <c r="BA437" s="12"/>
      <c r="BB437" s="12"/>
      <c r="BD437" s="12"/>
      <c r="BE437" s="12"/>
      <c r="BG437" s="12"/>
      <c r="BH437" s="12"/>
      <c r="BJ437" s="12"/>
      <c r="BK437" s="12"/>
      <c r="BM437" s="12"/>
      <c r="BN437" s="12"/>
      <c r="BO437" s="17"/>
      <c r="BQ437" s="12"/>
      <c r="BR437" s="12"/>
      <c r="BS437" s="17"/>
      <c r="BT437" s="17"/>
      <c r="BU437" s="12"/>
      <c r="BV437" s="12"/>
      <c r="BY437" s="12"/>
      <c r="BZ437" s="12"/>
      <c r="CC437" s="12"/>
      <c r="CD437" s="12"/>
      <c r="CG437" s="12"/>
      <c r="CH437" s="12"/>
      <c r="CI437" s="17"/>
      <c r="CJ437" s="12"/>
      <c r="CK437" s="12"/>
      <c r="CN437" s="12"/>
      <c r="CO437" s="12"/>
      <c r="CT437"/>
      <c r="CV437" s="12"/>
      <c r="CW437" s="12"/>
      <c r="CZ437" s="12"/>
      <c r="DA437" s="12"/>
      <c r="DC437" s="12"/>
      <c r="DD437" s="12"/>
      <c r="DE437" s="17"/>
      <c r="DF437" s="1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X437" s="9"/>
      <c r="EY437" s="9"/>
      <c r="EZ437" s="9"/>
      <c r="FA437" s="15"/>
      <c r="FB437" s="14"/>
      <c r="FC437" s="10"/>
      <c r="FD437" s="10"/>
      <c r="FE437" s="10"/>
      <c r="FF437" s="10"/>
      <c r="FG437" s="10"/>
      <c r="FH437" s="10"/>
    </row>
    <row r="438" spans="2:164" x14ac:dyDescent="0.25">
      <c r="B438"/>
      <c r="C438"/>
      <c r="D438"/>
      <c r="E438"/>
      <c r="F438" s="16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 s="16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 s="12"/>
      <c r="AK438" s="12"/>
      <c r="AL438" s="17"/>
      <c r="AN438" s="17"/>
      <c r="AP438" s="17"/>
      <c r="AQ438" s="12"/>
      <c r="AR438" s="12"/>
      <c r="AT438" s="17"/>
      <c r="AU438" s="12"/>
      <c r="AV438" s="12"/>
      <c r="AW438" s="17"/>
      <c r="AX438" s="12"/>
      <c r="AY438" s="12"/>
      <c r="BA438" s="12"/>
      <c r="BB438" s="12"/>
      <c r="BD438" s="12"/>
      <c r="BE438" s="12"/>
      <c r="BG438" s="12"/>
      <c r="BH438" s="12"/>
      <c r="BJ438" s="12"/>
      <c r="BK438" s="12"/>
      <c r="BM438" s="12"/>
      <c r="BN438" s="12"/>
      <c r="BO438" s="17"/>
      <c r="BQ438" s="12"/>
      <c r="BR438" s="12"/>
      <c r="BU438" s="12"/>
      <c r="BV438" s="12"/>
      <c r="BY438" s="12"/>
      <c r="BZ438" s="12"/>
      <c r="CA438" s="17"/>
      <c r="CB438" s="17"/>
      <c r="CC438" s="12"/>
      <c r="CD438" s="12"/>
      <c r="CG438" s="12"/>
      <c r="CH438" s="12"/>
      <c r="CJ438" s="12"/>
      <c r="CK438" s="12"/>
      <c r="CN438" s="12"/>
      <c r="CO438" s="12"/>
      <c r="CT438"/>
      <c r="CV438" s="12"/>
      <c r="CW438" s="12"/>
      <c r="CZ438" s="12"/>
      <c r="DA438" s="12"/>
      <c r="DC438" s="12"/>
      <c r="DD438" s="12"/>
      <c r="DF438" s="17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X438" s="9"/>
      <c r="EY438" s="9"/>
      <c r="EZ438" s="9"/>
      <c r="FA438" s="15"/>
      <c r="FB438" s="14"/>
      <c r="FC438" s="10"/>
      <c r="FD438" s="10"/>
      <c r="FE438" s="10"/>
      <c r="FF438" s="10"/>
      <c r="FG438" s="10"/>
      <c r="FH438" s="10"/>
    </row>
    <row r="439" spans="2:164" x14ac:dyDescent="0.25">
      <c r="B439"/>
      <c r="C439"/>
      <c r="D439"/>
      <c r="E439"/>
      <c r="F439" s="16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 s="16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 s="12"/>
      <c r="AK439" s="12"/>
      <c r="AL439" s="17"/>
      <c r="AN439" s="17"/>
      <c r="AP439" s="17"/>
      <c r="AQ439" s="12"/>
      <c r="AR439" s="12"/>
      <c r="AT439" s="17"/>
      <c r="AU439" s="12"/>
      <c r="AV439" s="12"/>
      <c r="AW439" s="17"/>
      <c r="AX439" s="12"/>
      <c r="AY439" s="12"/>
      <c r="BA439" s="12"/>
      <c r="BB439" s="12"/>
      <c r="BD439" s="12"/>
      <c r="BE439" s="12"/>
      <c r="BG439" s="12"/>
      <c r="BH439" s="12"/>
      <c r="BJ439" s="12"/>
      <c r="BK439" s="12"/>
      <c r="BM439" s="12"/>
      <c r="BN439" s="12"/>
      <c r="BO439" s="17"/>
      <c r="BQ439" s="12"/>
      <c r="BR439" s="12"/>
      <c r="BU439" s="12"/>
      <c r="BV439" s="12"/>
      <c r="BW439" s="17"/>
      <c r="BX439" s="17"/>
      <c r="BY439" s="12"/>
      <c r="BZ439" s="12"/>
      <c r="CC439" s="12"/>
      <c r="CD439" s="12"/>
      <c r="CG439" s="12"/>
      <c r="CH439" s="12"/>
      <c r="CI439" s="17"/>
      <c r="CJ439" s="12"/>
      <c r="CK439" s="12"/>
      <c r="CN439" s="12"/>
      <c r="CO439" s="12"/>
      <c r="CT439"/>
      <c r="CV439" s="12"/>
      <c r="CW439" s="12"/>
      <c r="CZ439" s="12"/>
      <c r="DA439" s="12"/>
      <c r="DC439" s="12"/>
      <c r="DD439" s="12"/>
      <c r="DE439" s="17"/>
      <c r="DF439" s="17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X439" s="9"/>
      <c r="EY439" s="9"/>
      <c r="EZ439" s="9"/>
      <c r="FA439" s="15"/>
      <c r="FB439" s="14"/>
      <c r="FC439" s="10"/>
      <c r="FD439" s="10"/>
      <c r="FE439" s="10"/>
      <c r="FF439" s="10"/>
      <c r="FG439" s="10"/>
      <c r="FH439" s="10"/>
    </row>
    <row r="440" spans="2:164" x14ac:dyDescent="0.25">
      <c r="B440"/>
      <c r="C440"/>
      <c r="D440"/>
      <c r="E440"/>
      <c r="F440" s="16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 s="16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 s="12"/>
      <c r="AK440" s="12"/>
      <c r="AL440" s="17"/>
      <c r="AN440" s="17"/>
      <c r="AP440" s="17"/>
      <c r="AQ440" s="12"/>
      <c r="AR440" s="12"/>
      <c r="AT440" s="17"/>
      <c r="AU440" s="12"/>
      <c r="AV440" s="12"/>
      <c r="AW440" s="17"/>
      <c r="AX440" s="12"/>
      <c r="AY440" s="12"/>
      <c r="BA440" s="12"/>
      <c r="BB440" s="12"/>
      <c r="BD440" s="12"/>
      <c r="BE440" s="12"/>
      <c r="BG440" s="12"/>
      <c r="BH440" s="12"/>
      <c r="BJ440" s="12"/>
      <c r="BK440" s="12"/>
      <c r="BM440" s="12"/>
      <c r="BN440" s="12"/>
      <c r="BO440" s="17"/>
      <c r="BQ440" s="12"/>
      <c r="BR440" s="12"/>
      <c r="BU440" s="12"/>
      <c r="BV440" s="12"/>
      <c r="BY440" s="12"/>
      <c r="BZ440" s="12"/>
      <c r="CA440" s="17"/>
      <c r="CB440" s="17"/>
      <c r="CC440" s="12"/>
      <c r="CD440" s="12"/>
      <c r="CG440" s="12"/>
      <c r="CH440" s="12"/>
      <c r="CJ440" s="12"/>
      <c r="CK440" s="12"/>
      <c r="CN440" s="12"/>
      <c r="CO440" s="12"/>
      <c r="CT440"/>
      <c r="CV440" s="12"/>
      <c r="CW440" s="12"/>
      <c r="CZ440" s="12"/>
      <c r="DA440" s="12"/>
      <c r="DC440" s="12"/>
      <c r="DD440" s="12"/>
      <c r="DE440" s="17"/>
      <c r="DF440" s="17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X440" s="9"/>
      <c r="EY440" s="9"/>
      <c r="EZ440" s="9"/>
      <c r="FA440" s="15"/>
      <c r="FB440" s="14"/>
      <c r="FC440" s="10"/>
      <c r="FD440" s="10"/>
      <c r="FE440" s="10"/>
      <c r="FF440" s="10"/>
      <c r="FG440" s="10"/>
      <c r="FH440" s="10"/>
    </row>
    <row r="441" spans="2:164" x14ac:dyDescent="0.25">
      <c r="B441"/>
      <c r="C441"/>
      <c r="D441"/>
      <c r="E441"/>
      <c r="F441" s="16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s="16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 s="12"/>
      <c r="AK441" s="12"/>
      <c r="AL441" s="17"/>
      <c r="AN441" s="17"/>
      <c r="AP441" s="17"/>
      <c r="AQ441" s="12"/>
      <c r="AR441" s="12"/>
      <c r="AT441" s="17"/>
      <c r="AU441" s="12"/>
      <c r="AV441" s="12"/>
      <c r="AW441" s="17"/>
      <c r="AX441" s="12"/>
      <c r="AY441" s="12"/>
      <c r="AZ441" s="17"/>
      <c r="BA441" s="12"/>
      <c r="BB441" s="12"/>
      <c r="BD441" s="12"/>
      <c r="BE441" s="12"/>
      <c r="BG441" s="12"/>
      <c r="BH441" s="12"/>
      <c r="BJ441" s="12"/>
      <c r="BK441" s="12"/>
      <c r="BM441" s="12"/>
      <c r="BN441" s="12"/>
      <c r="BO441" s="17"/>
      <c r="BQ441" s="12"/>
      <c r="BR441" s="12"/>
      <c r="BU441" s="12"/>
      <c r="BV441" s="12"/>
      <c r="BW441" s="17"/>
      <c r="BX441" s="17"/>
      <c r="BY441" s="12"/>
      <c r="BZ441" s="12"/>
      <c r="CC441" s="12"/>
      <c r="CD441" s="12"/>
      <c r="CG441" s="12"/>
      <c r="CH441" s="12"/>
      <c r="CI441" s="17"/>
      <c r="CJ441" s="12"/>
      <c r="CK441" s="12"/>
      <c r="CN441" s="12"/>
      <c r="CO441" s="12"/>
      <c r="CT441"/>
      <c r="CV441" s="12"/>
      <c r="CW441" s="12"/>
      <c r="CZ441" s="12"/>
      <c r="DA441" s="12"/>
      <c r="DC441" s="12"/>
      <c r="DD441" s="12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X441" s="9"/>
      <c r="EY441" s="9"/>
      <c r="EZ441" s="9"/>
      <c r="FA441" s="15"/>
      <c r="FB441" s="14"/>
      <c r="FC441" s="10"/>
      <c r="FD441" s="10"/>
      <c r="FE441" s="10"/>
      <c r="FF441" s="10"/>
      <c r="FG441" s="10"/>
      <c r="FH441" s="10"/>
    </row>
    <row r="442" spans="2:164" x14ac:dyDescent="0.25">
      <c r="B442"/>
      <c r="C442"/>
      <c r="D442"/>
      <c r="E442"/>
      <c r="F442" s="16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 s="16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 s="12"/>
      <c r="AK442" s="12"/>
      <c r="AL442" s="17"/>
      <c r="AN442" s="17"/>
      <c r="AP442" s="17"/>
      <c r="AQ442" s="12"/>
      <c r="AR442" s="12"/>
      <c r="AT442" s="17"/>
      <c r="AU442" s="12"/>
      <c r="AV442" s="12"/>
      <c r="AW442" s="17"/>
      <c r="AX442" s="12"/>
      <c r="AY442" s="12"/>
      <c r="BA442" s="12"/>
      <c r="BB442" s="12"/>
      <c r="BD442" s="12"/>
      <c r="BE442" s="12"/>
      <c r="BG442" s="12"/>
      <c r="BH442" s="12"/>
      <c r="BJ442" s="12"/>
      <c r="BK442" s="12"/>
      <c r="BM442" s="12"/>
      <c r="BN442" s="12"/>
      <c r="BO442" s="17"/>
      <c r="BQ442" s="12"/>
      <c r="BR442" s="12"/>
      <c r="BU442" s="12"/>
      <c r="BV442" s="12"/>
      <c r="BW442" s="17"/>
      <c r="BX442" s="17"/>
      <c r="BY442" s="12"/>
      <c r="BZ442" s="12"/>
      <c r="CC442" s="12"/>
      <c r="CD442" s="12"/>
      <c r="CG442" s="12"/>
      <c r="CH442" s="12"/>
      <c r="CI442" s="17"/>
      <c r="CJ442" s="12"/>
      <c r="CK442" s="12"/>
      <c r="CN442" s="12"/>
      <c r="CO442" s="12"/>
      <c r="CT442"/>
      <c r="CV442" s="12"/>
      <c r="CW442" s="12"/>
      <c r="CZ442" s="12"/>
      <c r="DA442" s="12"/>
      <c r="DC442" s="12"/>
      <c r="DD442" s="12"/>
      <c r="DE442" s="17"/>
      <c r="DF442" s="17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X442" s="9"/>
      <c r="EY442" s="9"/>
      <c r="EZ442" s="9"/>
      <c r="FA442" s="15"/>
      <c r="FB442" s="14"/>
      <c r="FC442" s="10"/>
      <c r="FD442" s="10"/>
      <c r="FE442" s="10"/>
      <c r="FF442" s="10"/>
      <c r="FG442" s="10"/>
      <c r="FH442" s="10"/>
    </row>
    <row r="443" spans="2:164" x14ac:dyDescent="0.25">
      <c r="B443"/>
      <c r="C443"/>
      <c r="D443"/>
      <c r="E443"/>
      <c r="F443" s="16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 s="16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 s="12"/>
      <c r="AK443" s="12"/>
      <c r="AL443" s="17"/>
      <c r="AN443" s="17"/>
      <c r="AP443" s="17"/>
      <c r="AQ443" s="12"/>
      <c r="AR443" s="12"/>
      <c r="AT443" s="17"/>
      <c r="AU443" s="12"/>
      <c r="AV443" s="12"/>
      <c r="AW443" s="17"/>
      <c r="AX443" s="12"/>
      <c r="AY443" s="12"/>
      <c r="BA443" s="12"/>
      <c r="BB443" s="12"/>
      <c r="BD443" s="12"/>
      <c r="BE443" s="12"/>
      <c r="BG443" s="12"/>
      <c r="BH443" s="12"/>
      <c r="BJ443" s="12"/>
      <c r="BK443" s="12"/>
      <c r="BM443" s="12"/>
      <c r="BN443" s="12"/>
      <c r="BO443" s="17"/>
      <c r="BQ443" s="12"/>
      <c r="BR443" s="12"/>
      <c r="BU443" s="12"/>
      <c r="BV443" s="12"/>
      <c r="BW443" s="17"/>
      <c r="BX443" s="17"/>
      <c r="BY443" s="12"/>
      <c r="BZ443" s="12"/>
      <c r="CC443" s="12"/>
      <c r="CD443" s="12"/>
      <c r="CG443" s="12"/>
      <c r="CH443" s="12"/>
      <c r="CI443" s="17"/>
      <c r="CJ443" s="12"/>
      <c r="CK443" s="12"/>
      <c r="CN443" s="12"/>
      <c r="CO443" s="12"/>
      <c r="CT443"/>
      <c r="CV443" s="12"/>
      <c r="CW443" s="12"/>
      <c r="CZ443" s="12"/>
      <c r="DA443" s="12"/>
      <c r="DC443" s="12"/>
      <c r="DD443" s="12"/>
      <c r="DE443" s="17"/>
      <c r="DF443" s="17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X443" s="9"/>
      <c r="EY443" s="9"/>
      <c r="EZ443" s="9"/>
      <c r="FA443" s="15"/>
      <c r="FB443" s="14"/>
      <c r="FC443" s="10"/>
      <c r="FD443" s="10"/>
      <c r="FE443" s="10"/>
      <c r="FF443" s="10"/>
      <c r="FG443" s="10"/>
      <c r="FH443" s="10"/>
    </row>
    <row r="444" spans="2:164" x14ac:dyDescent="0.25">
      <c r="B444"/>
      <c r="C444"/>
      <c r="D444"/>
      <c r="E444"/>
      <c r="F444" s="16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s="16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 s="12"/>
      <c r="AK444" s="12"/>
      <c r="AL444" s="17"/>
      <c r="AN444" s="17"/>
      <c r="AP444" s="17"/>
      <c r="AQ444" s="12"/>
      <c r="AR444" s="12"/>
      <c r="AT444" s="17"/>
      <c r="AU444" s="12"/>
      <c r="AV444" s="12"/>
      <c r="AW444" s="17"/>
      <c r="AX444" s="12"/>
      <c r="AY444" s="12"/>
      <c r="BA444" s="12"/>
      <c r="BB444" s="12"/>
      <c r="BD444" s="12"/>
      <c r="BE444" s="12"/>
      <c r="BG444" s="12"/>
      <c r="BH444" s="12"/>
      <c r="BJ444" s="12"/>
      <c r="BK444" s="12"/>
      <c r="BM444" s="12"/>
      <c r="BN444" s="12"/>
      <c r="BO444" s="17"/>
      <c r="BQ444" s="12"/>
      <c r="BR444" s="12"/>
      <c r="BU444" s="12"/>
      <c r="BV444" s="12"/>
      <c r="BY444" s="12"/>
      <c r="BZ444" s="12"/>
      <c r="CA444" s="17"/>
      <c r="CB444" s="17"/>
      <c r="CC444" s="12"/>
      <c r="CD444" s="12"/>
      <c r="CG444" s="12"/>
      <c r="CH444" s="12"/>
      <c r="CJ444" s="12"/>
      <c r="CK444" s="12"/>
      <c r="CN444" s="12"/>
      <c r="CO444" s="12"/>
      <c r="CT444"/>
      <c r="CV444" s="12"/>
      <c r="CW444" s="12"/>
      <c r="CZ444" s="12"/>
      <c r="DA444" s="12"/>
      <c r="DC444" s="12"/>
      <c r="DD444" s="12"/>
      <c r="DF444" s="17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X444" s="9"/>
      <c r="EY444" s="9"/>
      <c r="EZ444" s="9"/>
      <c r="FA444" s="15"/>
      <c r="FB444" s="14"/>
      <c r="FC444" s="10"/>
      <c r="FD444" s="10"/>
      <c r="FE444" s="10"/>
      <c r="FF444" s="10"/>
      <c r="FG444" s="10"/>
      <c r="FH444" s="10"/>
    </row>
    <row r="445" spans="2:164" x14ac:dyDescent="0.25">
      <c r="B445"/>
      <c r="C445"/>
      <c r="D445"/>
      <c r="E445"/>
      <c r="F445" s="16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 s="16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 s="12"/>
      <c r="AK445" s="12"/>
      <c r="AL445" s="17"/>
      <c r="AN445" s="17"/>
      <c r="AP445" s="17"/>
      <c r="AQ445" s="12"/>
      <c r="AR445" s="12"/>
      <c r="AT445" s="17"/>
      <c r="AU445" s="12"/>
      <c r="AV445" s="12"/>
      <c r="AW445" s="17"/>
      <c r="AX445" s="12"/>
      <c r="AY445" s="12"/>
      <c r="BA445" s="12"/>
      <c r="BB445" s="12"/>
      <c r="BD445" s="12"/>
      <c r="BE445" s="12"/>
      <c r="BG445" s="12"/>
      <c r="BH445" s="12"/>
      <c r="BJ445" s="12"/>
      <c r="BK445" s="12"/>
      <c r="BM445" s="12"/>
      <c r="BN445" s="12"/>
      <c r="BO445" s="17"/>
      <c r="BQ445" s="12"/>
      <c r="BR445" s="12"/>
      <c r="BU445" s="12"/>
      <c r="BV445" s="12"/>
      <c r="BW445" s="17"/>
      <c r="BX445" s="17"/>
      <c r="BY445" s="12"/>
      <c r="BZ445" s="12"/>
      <c r="CC445" s="12"/>
      <c r="CD445" s="12"/>
      <c r="CG445" s="12"/>
      <c r="CH445" s="12"/>
      <c r="CJ445" s="12"/>
      <c r="CK445" s="12"/>
      <c r="CL445" s="17"/>
      <c r="CM445" s="17"/>
      <c r="CN445" s="12"/>
      <c r="CO445" s="12"/>
      <c r="CT445"/>
      <c r="CV445" s="12"/>
      <c r="CW445" s="12"/>
      <c r="CZ445" s="12"/>
      <c r="DA445" s="12"/>
      <c r="DC445" s="12"/>
      <c r="DD445" s="12"/>
      <c r="DF445" s="17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X445" s="9"/>
      <c r="EY445" s="9"/>
      <c r="EZ445" s="9"/>
      <c r="FA445" s="15"/>
      <c r="FB445" s="14"/>
      <c r="FC445" s="10"/>
      <c r="FD445" s="10"/>
      <c r="FE445" s="10"/>
      <c r="FF445" s="10"/>
      <c r="FG445" s="10"/>
      <c r="FH445" s="10"/>
    </row>
    <row r="446" spans="2:164" x14ac:dyDescent="0.25">
      <c r="B446"/>
      <c r="C446"/>
      <c r="D446"/>
      <c r="E446"/>
      <c r="F446" s="1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s="1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 s="12"/>
      <c r="AK446" s="12"/>
      <c r="AL446" s="17"/>
      <c r="AN446" s="17"/>
      <c r="AP446" s="17"/>
      <c r="AQ446" s="12"/>
      <c r="AR446" s="12"/>
      <c r="AT446" s="17"/>
      <c r="AU446" s="12"/>
      <c r="AV446" s="12"/>
      <c r="AW446" s="17"/>
      <c r="AX446" s="12"/>
      <c r="AY446" s="12"/>
      <c r="BA446" s="12"/>
      <c r="BB446" s="12"/>
      <c r="BD446" s="12"/>
      <c r="BE446" s="12"/>
      <c r="BG446" s="12"/>
      <c r="BH446" s="12"/>
      <c r="BJ446" s="12"/>
      <c r="BK446" s="12"/>
      <c r="BM446" s="12"/>
      <c r="BN446" s="12"/>
      <c r="BO446" s="17"/>
      <c r="BQ446" s="12"/>
      <c r="BR446" s="12"/>
      <c r="BU446" s="12"/>
      <c r="BV446" s="12"/>
      <c r="BW446" s="17"/>
      <c r="BX446" s="17"/>
      <c r="BY446" s="12"/>
      <c r="BZ446" s="12"/>
      <c r="CC446" s="12"/>
      <c r="CD446" s="12"/>
      <c r="CG446" s="12"/>
      <c r="CH446" s="12"/>
      <c r="CI446" s="17"/>
      <c r="CJ446" s="12"/>
      <c r="CK446" s="12"/>
      <c r="CN446" s="12"/>
      <c r="CO446" s="12"/>
      <c r="CT446"/>
      <c r="CV446" s="12"/>
      <c r="CW446" s="12"/>
      <c r="CZ446" s="12"/>
      <c r="DA446" s="12"/>
      <c r="DC446" s="12"/>
      <c r="DD446" s="12"/>
      <c r="DE446" s="17"/>
      <c r="DF446" s="17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X446" s="9"/>
      <c r="EY446" s="9"/>
      <c r="EZ446" s="9"/>
      <c r="FA446" s="15"/>
      <c r="FB446" s="14"/>
      <c r="FC446" s="10"/>
      <c r="FD446" s="10"/>
      <c r="FE446" s="10"/>
      <c r="FF446" s="10"/>
      <c r="FG446" s="10"/>
      <c r="FH446" s="10"/>
    </row>
    <row r="447" spans="2:164" x14ac:dyDescent="0.25">
      <c r="B447"/>
      <c r="C447"/>
      <c r="D447"/>
      <c r="E447"/>
      <c r="F447" s="16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s="16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 s="12"/>
      <c r="AK447" s="12"/>
      <c r="AL447" s="17"/>
      <c r="AN447" s="17"/>
      <c r="AP447" s="17"/>
      <c r="AQ447" s="12"/>
      <c r="AR447" s="12"/>
      <c r="AT447" s="17"/>
      <c r="AU447" s="12"/>
      <c r="AV447" s="12"/>
      <c r="AW447" s="17"/>
      <c r="AX447" s="12"/>
      <c r="AY447" s="12"/>
      <c r="BA447" s="12"/>
      <c r="BB447" s="12"/>
      <c r="BD447" s="12"/>
      <c r="BE447" s="12"/>
      <c r="BG447" s="12"/>
      <c r="BH447" s="12"/>
      <c r="BJ447" s="12"/>
      <c r="BK447" s="12"/>
      <c r="BM447" s="12"/>
      <c r="BN447" s="12"/>
      <c r="BO447" s="17"/>
      <c r="BQ447" s="12"/>
      <c r="BR447" s="12"/>
      <c r="BS447" s="17"/>
      <c r="BT447" s="17"/>
      <c r="BU447" s="12"/>
      <c r="BV447" s="12"/>
      <c r="BY447" s="12"/>
      <c r="BZ447" s="12"/>
      <c r="CC447" s="12"/>
      <c r="CD447" s="12"/>
      <c r="CG447" s="12"/>
      <c r="CH447" s="12"/>
      <c r="CI447" s="17"/>
      <c r="CJ447" s="12"/>
      <c r="CK447" s="12"/>
      <c r="CN447" s="12"/>
      <c r="CO447" s="12"/>
      <c r="CT447"/>
      <c r="CV447" s="12"/>
      <c r="CW447" s="12"/>
      <c r="CZ447" s="12"/>
      <c r="DA447" s="12"/>
      <c r="DC447" s="12"/>
      <c r="DD447" s="12"/>
      <c r="DF447" s="1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X447" s="9"/>
      <c r="EY447" s="9"/>
      <c r="EZ447" s="9"/>
      <c r="FA447" s="15"/>
      <c r="FB447" s="14"/>
      <c r="FC447" s="10"/>
      <c r="FD447" s="10"/>
      <c r="FE447" s="10"/>
      <c r="FF447" s="10"/>
      <c r="FG447" s="10"/>
      <c r="FH447" s="10"/>
    </row>
    <row r="448" spans="2:164" x14ac:dyDescent="0.25">
      <c r="B448"/>
      <c r="C448"/>
      <c r="D448"/>
      <c r="E448"/>
      <c r="F448" s="16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s="16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 s="12"/>
      <c r="AK448" s="12"/>
      <c r="AL448" s="17"/>
      <c r="AN448" s="17"/>
      <c r="AP448" s="17"/>
      <c r="AQ448" s="12"/>
      <c r="AR448" s="12"/>
      <c r="AT448" s="17"/>
      <c r="AU448" s="12"/>
      <c r="AV448" s="12"/>
      <c r="AW448" s="17"/>
      <c r="AX448" s="12"/>
      <c r="AY448" s="12"/>
      <c r="BA448" s="12"/>
      <c r="BB448" s="12"/>
      <c r="BD448" s="12"/>
      <c r="BE448" s="12"/>
      <c r="BG448" s="12"/>
      <c r="BH448" s="12"/>
      <c r="BJ448" s="12"/>
      <c r="BK448" s="12"/>
      <c r="BM448" s="12"/>
      <c r="BN448" s="12"/>
      <c r="BO448" s="17"/>
      <c r="BQ448" s="12"/>
      <c r="BR448" s="12"/>
      <c r="BU448" s="12"/>
      <c r="BV448" s="12"/>
      <c r="BY448" s="12"/>
      <c r="BZ448" s="12"/>
      <c r="CC448" s="12"/>
      <c r="CD448" s="12"/>
      <c r="CG448" s="12"/>
      <c r="CH448" s="12"/>
      <c r="CI448" s="17"/>
      <c r="CJ448" s="12"/>
      <c r="CK448" s="12"/>
      <c r="CN448" s="12"/>
      <c r="CO448" s="12"/>
      <c r="CT448"/>
      <c r="CV448" s="12"/>
      <c r="CW448" s="12"/>
      <c r="CZ448" s="12"/>
      <c r="DA448" s="12"/>
      <c r="DC448" s="12"/>
      <c r="DD448" s="12"/>
      <c r="DE448" s="17"/>
      <c r="DF448" s="17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X448" s="9"/>
      <c r="EY448" s="9"/>
      <c r="EZ448" s="9"/>
      <c r="FA448" s="15"/>
      <c r="FB448" s="14"/>
      <c r="FC448" s="10"/>
      <c r="FD448" s="10"/>
      <c r="FE448" s="10"/>
      <c r="FF448" s="10"/>
      <c r="FG448" s="10"/>
      <c r="FH448" s="10"/>
    </row>
    <row r="449" spans="2:164" x14ac:dyDescent="0.25">
      <c r="B449"/>
      <c r="C449"/>
      <c r="D449"/>
      <c r="E449"/>
      <c r="F449" s="16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s="16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 s="12"/>
      <c r="AK449" s="12"/>
      <c r="AL449" s="17"/>
      <c r="AN449" s="17"/>
      <c r="AP449" s="17"/>
      <c r="AQ449" s="12"/>
      <c r="AR449" s="12"/>
      <c r="AT449" s="17"/>
      <c r="AU449" s="12"/>
      <c r="AV449" s="12"/>
      <c r="AW449" s="17"/>
      <c r="AX449" s="12"/>
      <c r="AY449" s="12"/>
      <c r="BA449" s="12"/>
      <c r="BB449" s="12"/>
      <c r="BC449" s="17"/>
      <c r="BD449" s="12"/>
      <c r="BE449" s="12"/>
      <c r="BG449" s="12"/>
      <c r="BH449" s="12"/>
      <c r="BJ449" s="12"/>
      <c r="BK449" s="12"/>
      <c r="BM449" s="12"/>
      <c r="BN449" s="12"/>
      <c r="BO449" s="17"/>
      <c r="BQ449" s="12"/>
      <c r="BR449" s="12"/>
      <c r="BU449" s="12"/>
      <c r="BV449" s="12"/>
      <c r="BW449" s="17"/>
      <c r="BX449" s="17"/>
      <c r="BY449" s="12"/>
      <c r="BZ449" s="12"/>
      <c r="CC449" s="12"/>
      <c r="CD449" s="12"/>
      <c r="CG449" s="12"/>
      <c r="CH449" s="12"/>
      <c r="CI449" s="17"/>
      <c r="CJ449" s="12"/>
      <c r="CK449" s="12"/>
      <c r="CN449" s="12"/>
      <c r="CO449" s="12"/>
      <c r="CT449"/>
      <c r="CV449" s="12"/>
      <c r="CW449" s="12"/>
      <c r="CZ449" s="12"/>
      <c r="DA449" s="12"/>
      <c r="DC449" s="12"/>
      <c r="DD449" s="12"/>
      <c r="DE449" s="17"/>
      <c r="DF449" s="17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X449" s="9"/>
      <c r="EY449" s="9"/>
      <c r="EZ449" s="9"/>
      <c r="FA449" s="15"/>
      <c r="FB449" s="14"/>
      <c r="FC449" s="10"/>
      <c r="FD449" s="10"/>
      <c r="FE449" s="10"/>
      <c r="FF449" s="10"/>
      <c r="FG449" s="10"/>
      <c r="FH449" s="10"/>
    </row>
    <row r="450" spans="2:164" x14ac:dyDescent="0.25">
      <c r="B450"/>
      <c r="C450"/>
      <c r="D450"/>
      <c r="E450"/>
      <c r="F450" s="16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 s="16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 s="12"/>
      <c r="AK450" s="12"/>
      <c r="AL450" s="17"/>
      <c r="AN450" s="17"/>
      <c r="AP450" s="17"/>
      <c r="AQ450" s="12"/>
      <c r="AR450" s="12"/>
      <c r="AT450" s="17"/>
      <c r="AU450" s="12"/>
      <c r="AV450" s="12"/>
      <c r="AW450" s="17"/>
      <c r="AX450" s="12"/>
      <c r="AY450" s="12"/>
      <c r="BA450" s="12"/>
      <c r="BB450" s="12"/>
      <c r="BD450" s="12"/>
      <c r="BE450" s="12"/>
      <c r="BG450" s="12"/>
      <c r="BH450" s="12"/>
      <c r="BJ450" s="12"/>
      <c r="BK450" s="12"/>
      <c r="BM450" s="12"/>
      <c r="BN450" s="12"/>
      <c r="BO450" s="17"/>
      <c r="BQ450" s="12"/>
      <c r="BR450" s="12"/>
      <c r="BU450" s="12"/>
      <c r="BV450" s="12"/>
      <c r="BW450" s="17"/>
      <c r="BX450" s="17"/>
      <c r="BY450" s="12"/>
      <c r="BZ450" s="12"/>
      <c r="CC450" s="12"/>
      <c r="CD450" s="12"/>
      <c r="CG450" s="12"/>
      <c r="CH450" s="12"/>
      <c r="CI450" s="17"/>
      <c r="CJ450" s="12"/>
      <c r="CK450" s="12"/>
      <c r="CN450" s="12"/>
      <c r="CO450" s="12"/>
      <c r="CT450"/>
      <c r="CV450" s="12"/>
      <c r="CW450" s="12"/>
      <c r="CZ450" s="12"/>
      <c r="DA450" s="12"/>
      <c r="DC450" s="12"/>
      <c r="DD450" s="12"/>
      <c r="DE450" s="17"/>
      <c r="DF450" s="17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X450" s="9"/>
      <c r="EY450" s="9"/>
      <c r="EZ450" s="9"/>
      <c r="FA450" s="15"/>
      <c r="FB450" s="14"/>
      <c r="FC450" s="10"/>
      <c r="FD450" s="10"/>
      <c r="FE450" s="10"/>
      <c r="FF450" s="10"/>
      <c r="FG450" s="10"/>
      <c r="FH450" s="10"/>
    </row>
    <row r="451" spans="2:164" x14ac:dyDescent="0.25">
      <c r="B451"/>
      <c r="C451"/>
      <c r="D451"/>
      <c r="E451"/>
      <c r="F451" s="16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 s="16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 s="12"/>
      <c r="AK451" s="12"/>
      <c r="AL451" s="17"/>
      <c r="AN451" s="17"/>
      <c r="AP451" s="17"/>
      <c r="AQ451" s="12"/>
      <c r="AR451" s="12"/>
      <c r="AT451" s="17"/>
      <c r="AU451" s="12"/>
      <c r="AV451" s="12"/>
      <c r="AW451" s="17"/>
      <c r="AX451" s="12"/>
      <c r="AY451" s="12"/>
      <c r="BA451" s="12"/>
      <c r="BB451" s="12"/>
      <c r="BC451" s="17"/>
      <c r="BD451" s="12"/>
      <c r="BE451" s="12"/>
      <c r="BG451" s="12"/>
      <c r="BH451" s="12"/>
      <c r="BJ451" s="12"/>
      <c r="BK451" s="12"/>
      <c r="BM451" s="12"/>
      <c r="BN451" s="12"/>
      <c r="BO451" s="17"/>
      <c r="BQ451" s="12"/>
      <c r="BR451" s="12"/>
      <c r="BU451" s="12"/>
      <c r="BV451" s="12"/>
      <c r="BY451" s="12"/>
      <c r="BZ451" s="12"/>
      <c r="CA451" s="17"/>
      <c r="CB451" s="17"/>
      <c r="CC451" s="12"/>
      <c r="CD451" s="12"/>
      <c r="CG451" s="12"/>
      <c r="CH451" s="12"/>
      <c r="CJ451" s="12"/>
      <c r="CK451" s="12"/>
      <c r="CN451" s="12"/>
      <c r="CO451" s="12"/>
      <c r="CT451"/>
      <c r="CV451" s="12"/>
      <c r="CW451" s="12"/>
      <c r="CZ451" s="12"/>
      <c r="DA451" s="12"/>
      <c r="DC451" s="12"/>
      <c r="DD451" s="12"/>
      <c r="DF451" s="17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X451" s="9"/>
      <c r="EY451" s="9"/>
      <c r="EZ451" s="9"/>
      <c r="FA451" s="15"/>
      <c r="FB451" s="14"/>
      <c r="FC451" s="10"/>
      <c r="FD451" s="10"/>
      <c r="FE451" s="10"/>
      <c r="FF451" s="10"/>
      <c r="FG451" s="10"/>
      <c r="FH451" s="10"/>
    </row>
    <row r="452" spans="2:164" x14ac:dyDescent="0.25">
      <c r="B452"/>
      <c r="C452"/>
      <c r="D452"/>
      <c r="E452"/>
      <c r="F452" s="16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 s="16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 s="12"/>
      <c r="AK452" s="12"/>
      <c r="AL452" s="17"/>
      <c r="AN452" s="17"/>
      <c r="AP452" s="17"/>
      <c r="AQ452" s="12"/>
      <c r="AR452" s="12"/>
      <c r="AT452" s="17"/>
      <c r="AU452" s="12"/>
      <c r="AV452" s="12"/>
      <c r="AW452" s="17"/>
      <c r="AX452" s="12"/>
      <c r="AY452" s="12"/>
      <c r="BA452" s="12"/>
      <c r="BB452" s="12"/>
      <c r="BD452" s="12"/>
      <c r="BE452" s="12"/>
      <c r="BG452" s="12"/>
      <c r="BH452" s="12"/>
      <c r="BJ452" s="12"/>
      <c r="BK452" s="12"/>
      <c r="BM452" s="12"/>
      <c r="BN452" s="12"/>
      <c r="BO452" s="17"/>
      <c r="BQ452" s="12"/>
      <c r="BR452" s="12"/>
      <c r="BU452" s="12"/>
      <c r="BV452" s="12"/>
      <c r="BW452" s="17"/>
      <c r="BX452" s="17"/>
      <c r="BY452" s="12"/>
      <c r="BZ452" s="12"/>
      <c r="CC452" s="12"/>
      <c r="CD452" s="12"/>
      <c r="CG452" s="12"/>
      <c r="CH452" s="12"/>
      <c r="CI452" s="17"/>
      <c r="CJ452" s="12"/>
      <c r="CK452" s="12"/>
      <c r="CN452" s="12"/>
      <c r="CO452" s="12"/>
      <c r="CT452"/>
      <c r="CV452" s="12"/>
      <c r="CW452" s="12"/>
      <c r="CZ452" s="12"/>
      <c r="DA452" s="12"/>
      <c r="DC452" s="12"/>
      <c r="DD452" s="12"/>
      <c r="DE452" s="17"/>
      <c r="DF452" s="17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X452" s="9"/>
      <c r="EY452" s="9"/>
      <c r="EZ452" s="9"/>
      <c r="FA452" s="15"/>
      <c r="FB452" s="14"/>
      <c r="FC452" s="10"/>
      <c r="FD452" s="10"/>
      <c r="FE452" s="10"/>
      <c r="FF452" s="10"/>
      <c r="FG452" s="10"/>
      <c r="FH452" s="10"/>
    </row>
    <row r="453" spans="2:164" x14ac:dyDescent="0.25">
      <c r="B453"/>
      <c r="C453"/>
      <c r="D453"/>
      <c r="E453"/>
      <c r="F453" s="16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 s="16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 s="12"/>
      <c r="AK453" s="12"/>
      <c r="AL453" s="17"/>
      <c r="AN453" s="17"/>
      <c r="AP453" s="17"/>
      <c r="AQ453" s="12"/>
      <c r="AR453" s="12"/>
      <c r="AT453" s="17"/>
      <c r="AU453" s="12"/>
      <c r="AV453" s="12"/>
      <c r="AW453" s="17"/>
      <c r="AX453" s="12"/>
      <c r="AY453" s="12"/>
      <c r="BA453" s="12"/>
      <c r="BB453" s="12"/>
      <c r="BD453" s="12"/>
      <c r="BE453" s="12"/>
      <c r="BG453" s="12"/>
      <c r="BH453" s="12"/>
      <c r="BJ453" s="12"/>
      <c r="BK453" s="12"/>
      <c r="BM453" s="12"/>
      <c r="BN453" s="12"/>
      <c r="BO453" s="17"/>
      <c r="BQ453" s="12"/>
      <c r="BR453" s="12"/>
      <c r="BS453" s="17"/>
      <c r="BT453" s="17"/>
      <c r="BU453" s="12"/>
      <c r="BV453" s="12"/>
      <c r="BY453" s="12"/>
      <c r="BZ453" s="12"/>
      <c r="CC453" s="12"/>
      <c r="CD453" s="12"/>
      <c r="CG453" s="12"/>
      <c r="CH453" s="12"/>
      <c r="CI453" s="17"/>
      <c r="CJ453" s="12"/>
      <c r="CK453" s="12"/>
      <c r="CN453" s="12"/>
      <c r="CO453" s="12"/>
      <c r="CT453"/>
      <c r="CV453" s="12"/>
      <c r="CW453" s="12"/>
      <c r="CZ453" s="12"/>
      <c r="DA453" s="12"/>
      <c r="DC453" s="12"/>
      <c r="DD453" s="12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X453" s="9"/>
      <c r="EY453" s="9"/>
      <c r="EZ453" s="9"/>
      <c r="FA453" s="15"/>
      <c r="FB453" s="14"/>
      <c r="FC453" s="10"/>
      <c r="FD453" s="10"/>
      <c r="FE453" s="10"/>
      <c r="FF453" s="10"/>
      <c r="FG453" s="10"/>
      <c r="FH453" s="10"/>
    </row>
    <row r="454" spans="2:164" x14ac:dyDescent="0.25">
      <c r="B454"/>
      <c r="C454"/>
      <c r="D454"/>
      <c r="E454"/>
      <c r="F454" s="16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 s="16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 s="12"/>
      <c r="AK454" s="12"/>
      <c r="AL454" s="17"/>
      <c r="AN454" s="17"/>
      <c r="AP454" s="17"/>
      <c r="AQ454" s="12"/>
      <c r="AR454" s="12"/>
      <c r="AT454" s="17"/>
      <c r="AU454" s="12"/>
      <c r="AV454" s="12"/>
      <c r="AW454" s="17"/>
      <c r="AX454" s="12"/>
      <c r="AY454" s="12"/>
      <c r="BA454" s="12"/>
      <c r="BB454" s="12"/>
      <c r="BD454" s="12"/>
      <c r="BE454" s="12"/>
      <c r="BG454" s="12"/>
      <c r="BH454" s="12"/>
      <c r="BJ454" s="12"/>
      <c r="BK454" s="12"/>
      <c r="BM454" s="12"/>
      <c r="BN454" s="12"/>
      <c r="BO454" s="17"/>
      <c r="BQ454" s="12"/>
      <c r="BR454" s="12"/>
      <c r="BU454" s="12"/>
      <c r="BV454" s="12"/>
      <c r="BY454" s="12"/>
      <c r="BZ454" s="12"/>
      <c r="CA454" s="17"/>
      <c r="CB454" s="17"/>
      <c r="CC454" s="12"/>
      <c r="CD454" s="12"/>
      <c r="CG454" s="12"/>
      <c r="CH454" s="12"/>
      <c r="CJ454" s="12"/>
      <c r="CK454" s="12"/>
      <c r="CN454" s="12"/>
      <c r="CO454" s="12"/>
      <c r="CT454"/>
      <c r="CV454" s="12"/>
      <c r="CW454" s="12"/>
      <c r="CZ454" s="12"/>
      <c r="DA454" s="12"/>
      <c r="DC454" s="12"/>
      <c r="DD454" s="12"/>
      <c r="DE454" s="17"/>
      <c r="DF454" s="17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X454" s="9"/>
      <c r="EY454" s="9"/>
      <c r="EZ454" s="9"/>
      <c r="FA454" s="15"/>
      <c r="FB454" s="14"/>
      <c r="FC454" s="10"/>
      <c r="FD454" s="10"/>
      <c r="FE454" s="10"/>
      <c r="FF454" s="10"/>
      <c r="FG454" s="10"/>
      <c r="FH454" s="10"/>
    </row>
    <row r="455" spans="2:164" x14ac:dyDescent="0.25">
      <c r="B455"/>
      <c r="C455"/>
      <c r="D455"/>
      <c r="E455"/>
      <c r="F455" s="16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 s="16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 s="12"/>
      <c r="AK455" s="12"/>
      <c r="AL455" s="17"/>
      <c r="AN455" s="17"/>
      <c r="AP455" s="17"/>
      <c r="AQ455" s="12"/>
      <c r="AR455" s="12"/>
      <c r="AT455" s="17"/>
      <c r="AU455" s="12"/>
      <c r="AV455" s="12"/>
      <c r="AW455" s="17"/>
      <c r="AX455" s="12"/>
      <c r="AY455" s="12"/>
      <c r="BA455" s="12"/>
      <c r="BB455" s="12"/>
      <c r="BD455" s="12"/>
      <c r="BE455" s="12"/>
      <c r="BG455" s="12"/>
      <c r="BH455" s="12"/>
      <c r="BJ455" s="12"/>
      <c r="BK455" s="12"/>
      <c r="BM455" s="12"/>
      <c r="BN455" s="12"/>
      <c r="BO455" s="17"/>
      <c r="BQ455" s="12"/>
      <c r="BR455" s="12"/>
      <c r="BS455" s="17"/>
      <c r="BT455" s="17"/>
      <c r="BU455" s="12"/>
      <c r="BV455" s="12"/>
      <c r="BY455" s="12"/>
      <c r="BZ455" s="12"/>
      <c r="CC455" s="12"/>
      <c r="CD455" s="12"/>
      <c r="CG455" s="12"/>
      <c r="CH455" s="12"/>
      <c r="CI455" s="17"/>
      <c r="CJ455" s="12"/>
      <c r="CK455" s="12"/>
      <c r="CN455" s="12"/>
      <c r="CO455" s="12"/>
      <c r="CT455"/>
      <c r="CV455" s="12"/>
      <c r="CW455" s="12"/>
      <c r="CZ455" s="12"/>
      <c r="DA455" s="12"/>
      <c r="DC455" s="12"/>
      <c r="DD455" s="12"/>
      <c r="DF455" s="17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X455" s="9"/>
      <c r="EY455" s="9"/>
      <c r="EZ455" s="9"/>
      <c r="FA455" s="15"/>
      <c r="FB455" s="14"/>
      <c r="FC455" s="10"/>
      <c r="FD455" s="10"/>
      <c r="FE455" s="10"/>
      <c r="FF455" s="10"/>
      <c r="FG455" s="10"/>
      <c r="FH455" s="10"/>
    </row>
    <row r="456" spans="2:164" x14ac:dyDescent="0.25">
      <c r="B456"/>
      <c r="C456"/>
      <c r="D456"/>
      <c r="E456"/>
      <c r="F456" s="1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 s="1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 s="12"/>
      <c r="AK456" s="12"/>
      <c r="AL456" s="17"/>
      <c r="AN456" s="17"/>
      <c r="AP456" s="17"/>
      <c r="AQ456" s="12"/>
      <c r="AR456" s="12"/>
      <c r="AT456" s="17"/>
      <c r="AU456" s="12"/>
      <c r="AV456" s="12"/>
      <c r="AW456" s="17"/>
      <c r="AX456" s="12"/>
      <c r="AY456" s="12"/>
      <c r="BA456" s="12"/>
      <c r="BB456" s="12"/>
      <c r="BD456" s="12"/>
      <c r="BE456" s="12"/>
      <c r="BG456" s="12"/>
      <c r="BH456" s="12"/>
      <c r="BJ456" s="12"/>
      <c r="BK456" s="12"/>
      <c r="BM456" s="12"/>
      <c r="BN456" s="12"/>
      <c r="BO456" s="17"/>
      <c r="BQ456" s="12"/>
      <c r="BR456" s="12"/>
      <c r="BU456" s="12"/>
      <c r="BV456" s="12"/>
      <c r="BY456" s="12"/>
      <c r="BZ456" s="12"/>
      <c r="CC456" s="12"/>
      <c r="CD456" s="12"/>
      <c r="CG456" s="12"/>
      <c r="CH456" s="12"/>
      <c r="CI456" s="17"/>
      <c r="CJ456" s="12"/>
      <c r="CK456" s="12"/>
      <c r="CN456" s="12"/>
      <c r="CO456" s="12"/>
      <c r="CT456"/>
      <c r="CV456" s="12"/>
      <c r="CW456" s="12"/>
      <c r="CZ456" s="12"/>
      <c r="DA456" s="12"/>
      <c r="DC456" s="12"/>
      <c r="DD456" s="12"/>
      <c r="DE456" s="17"/>
      <c r="DF456" s="17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X456" s="9"/>
      <c r="EY456" s="9"/>
      <c r="EZ456" s="9"/>
      <c r="FA456" s="15"/>
      <c r="FB456" s="14"/>
      <c r="FC456" s="10"/>
      <c r="FD456" s="10"/>
      <c r="FE456" s="10"/>
      <c r="FF456" s="10"/>
      <c r="FG456" s="10"/>
      <c r="FH456" s="10"/>
    </row>
    <row r="457" spans="2:164" x14ac:dyDescent="0.25">
      <c r="B457"/>
      <c r="C457"/>
      <c r="D457"/>
      <c r="E457"/>
      <c r="F457" s="16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s="16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 s="12"/>
      <c r="AK457" s="12"/>
      <c r="AL457" s="17"/>
      <c r="AN457" s="17"/>
      <c r="AP457" s="17"/>
      <c r="AQ457" s="12"/>
      <c r="AR457" s="12"/>
      <c r="AT457" s="17"/>
      <c r="AU457" s="12"/>
      <c r="AV457" s="12"/>
      <c r="AW457" s="17"/>
      <c r="AX457" s="12"/>
      <c r="AY457" s="12"/>
      <c r="BA457" s="12"/>
      <c r="BB457" s="12"/>
      <c r="BD457" s="12"/>
      <c r="BE457" s="12"/>
      <c r="BG457" s="12"/>
      <c r="BH457" s="12"/>
      <c r="BJ457" s="12"/>
      <c r="BK457" s="12"/>
      <c r="BM457" s="12"/>
      <c r="BN457" s="12"/>
      <c r="BO457" s="17"/>
      <c r="BQ457" s="12"/>
      <c r="BR457" s="12"/>
      <c r="BU457" s="12"/>
      <c r="BV457" s="12"/>
      <c r="BW457" s="17"/>
      <c r="BX457" s="17"/>
      <c r="BY457" s="12"/>
      <c r="BZ457" s="12"/>
      <c r="CC457" s="12"/>
      <c r="CD457" s="12"/>
      <c r="CG457" s="12"/>
      <c r="CH457" s="12"/>
      <c r="CI457" s="17"/>
      <c r="CJ457" s="12"/>
      <c r="CK457" s="12"/>
      <c r="CN457" s="12"/>
      <c r="CO457" s="12"/>
      <c r="CT457"/>
      <c r="CV457" s="12"/>
      <c r="CW457" s="12"/>
      <c r="CZ457" s="12"/>
      <c r="DA457" s="12"/>
      <c r="DC457" s="12"/>
      <c r="DD457" s="12"/>
      <c r="DE457" s="17"/>
      <c r="DF457" s="1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X457" s="9"/>
      <c r="EY457" s="9"/>
      <c r="EZ457" s="9"/>
      <c r="FA457" s="15"/>
      <c r="FB457" s="14"/>
      <c r="FC457" s="10"/>
      <c r="FD457" s="10"/>
      <c r="FE457" s="10"/>
      <c r="FF457" s="10"/>
      <c r="FG457" s="10"/>
      <c r="FH457" s="10"/>
    </row>
    <row r="458" spans="2:164" x14ac:dyDescent="0.25">
      <c r="B458"/>
      <c r="C458"/>
      <c r="D458"/>
      <c r="E458"/>
      <c r="F458" s="16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 s="16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 s="12"/>
      <c r="AK458" s="12"/>
      <c r="AL458" s="17"/>
      <c r="AN458" s="17"/>
      <c r="AP458" s="17"/>
      <c r="AQ458" s="12"/>
      <c r="AR458" s="12"/>
      <c r="AT458" s="17"/>
      <c r="AU458" s="12"/>
      <c r="AV458" s="12"/>
      <c r="AW458" s="17"/>
      <c r="AX458" s="12"/>
      <c r="AY458" s="12"/>
      <c r="BA458" s="12"/>
      <c r="BB458" s="12"/>
      <c r="BD458" s="12"/>
      <c r="BE458" s="12"/>
      <c r="BG458" s="12"/>
      <c r="BH458" s="12"/>
      <c r="BJ458" s="12"/>
      <c r="BK458" s="12"/>
      <c r="BM458" s="12"/>
      <c r="BN458" s="12"/>
      <c r="BO458" s="17"/>
      <c r="BQ458" s="12"/>
      <c r="BR458" s="12"/>
      <c r="BS458" s="17"/>
      <c r="BT458" s="17"/>
      <c r="BU458" s="12"/>
      <c r="BV458" s="12"/>
      <c r="BY458" s="12"/>
      <c r="BZ458" s="12"/>
      <c r="CC458" s="12"/>
      <c r="CD458" s="12"/>
      <c r="CG458" s="12"/>
      <c r="CH458" s="12"/>
      <c r="CI458" s="17"/>
      <c r="CJ458" s="12"/>
      <c r="CK458" s="12"/>
      <c r="CN458" s="12"/>
      <c r="CO458" s="12"/>
      <c r="CT458"/>
      <c r="CV458" s="12"/>
      <c r="CW458" s="12"/>
      <c r="CZ458" s="12"/>
      <c r="DA458" s="12"/>
      <c r="DC458" s="12"/>
      <c r="DD458" s="12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X458" s="9"/>
      <c r="EY458" s="9"/>
      <c r="EZ458" s="9"/>
      <c r="FA458" s="15"/>
      <c r="FB458" s="14"/>
      <c r="FC458" s="10"/>
      <c r="FD458" s="10"/>
      <c r="FE458" s="10"/>
      <c r="FF458" s="10"/>
      <c r="FG458" s="10"/>
      <c r="FH458" s="10"/>
    </row>
    <row r="459" spans="2:164" x14ac:dyDescent="0.25">
      <c r="B459"/>
      <c r="C459"/>
      <c r="D459"/>
      <c r="E459"/>
      <c r="F459" s="16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s="16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 s="12"/>
      <c r="AK459" s="12"/>
      <c r="AL459" s="17"/>
      <c r="AN459" s="17"/>
      <c r="AP459" s="17"/>
      <c r="AQ459" s="12"/>
      <c r="AR459" s="12"/>
      <c r="AT459" s="17"/>
      <c r="AU459" s="12"/>
      <c r="AV459" s="12"/>
      <c r="AW459" s="17"/>
      <c r="AX459" s="12"/>
      <c r="AY459" s="12"/>
      <c r="BA459" s="12"/>
      <c r="BB459" s="12"/>
      <c r="BD459" s="12"/>
      <c r="BE459" s="12"/>
      <c r="BG459" s="12"/>
      <c r="BH459" s="12"/>
      <c r="BJ459" s="12"/>
      <c r="BK459" s="12"/>
      <c r="BM459" s="12"/>
      <c r="BN459" s="12"/>
      <c r="BO459" s="17"/>
      <c r="BQ459" s="12"/>
      <c r="BR459" s="12"/>
      <c r="BU459" s="12"/>
      <c r="BV459" s="12"/>
      <c r="BY459" s="12"/>
      <c r="BZ459" s="12"/>
      <c r="CA459" s="17"/>
      <c r="CB459" s="17"/>
      <c r="CC459" s="12"/>
      <c r="CD459" s="12"/>
      <c r="CG459" s="12"/>
      <c r="CH459" s="12"/>
      <c r="CJ459" s="12"/>
      <c r="CK459" s="12"/>
      <c r="CN459" s="12"/>
      <c r="CO459" s="12"/>
      <c r="CT459"/>
      <c r="CV459" s="12"/>
      <c r="CW459" s="12"/>
      <c r="CZ459" s="12"/>
      <c r="DA459" s="12"/>
      <c r="DC459" s="12"/>
      <c r="DD459" s="12"/>
      <c r="DE459" s="17"/>
      <c r="DF459" s="17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X459" s="9"/>
      <c r="EY459" s="9"/>
      <c r="EZ459" s="9"/>
      <c r="FA459" s="15"/>
      <c r="FB459" s="14"/>
      <c r="FC459" s="10"/>
      <c r="FD459" s="10"/>
      <c r="FE459" s="10"/>
      <c r="FF459" s="10"/>
      <c r="FG459" s="10"/>
      <c r="FH459" s="10"/>
    </row>
    <row r="460" spans="2:164" x14ac:dyDescent="0.25">
      <c r="B460"/>
      <c r="C460"/>
      <c r="D460"/>
      <c r="E460"/>
      <c r="F460" s="16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s="16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 s="12"/>
      <c r="AK460" s="12"/>
      <c r="AL460" s="17"/>
      <c r="AN460" s="17"/>
      <c r="AP460" s="17"/>
      <c r="AQ460" s="12"/>
      <c r="AR460" s="12"/>
      <c r="AT460" s="17"/>
      <c r="AU460" s="12"/>
      <c r="AV460" s="12"/>
      <c r="AW460" s="17"/>
      <c r="AX460" s="12"/>
      <c r="AY460" s="12"/>
      <c r="BA460" s="12"/>
      <c r="BB460" s="12"/>
      <c r="BC460" s="17"/>
      <c r="BD460" s="12"/>
      <c r="BE460" s="12"/>
      <c r="BG460" s="12"/>
      <c r="BH460" s="12"/>
      <c r="BJ460" s="12"/>
      <c r="BK460" s="12"/>
      <c r="BM460" s="12"/>
      <c r="BN460" s="12"/>
      <c r="BO460" s="17"/>
      <c r="BQ460" s="12"/>
      <c r="BR460" s="12"/>
      <c r="BS460" s="17"/>
      <c r="BT460" s="17"/>
      <c r="BU460" s="12"/>
      <c r="BV460" s="12"/>
      <c r="BY460" s="12"/>
      <c r="BZ460" s="12"/>
      <c r="CC460" s="12"/>
      <c r="CD460" s="12"/>
      <c r="CG460" s="12"/>
      <c r="CH460" s="12"/>
      <c r="CI460" s="17"/>
      <c r="CJ460" s="12"/>
      <c r="CK460" s="12"/>
      <c r="CN460" s="12"/>
      <c r="CO460" s="12"/>
      <c r="CT460"/>
      <c r="CV460" s="12"/>
      <c r="CW460" s="12"/>
      <c r="CZ460" s="12"/>
      <c r="DA460" s="12"/>
      <c r="DC460" s="12"/>
      <c r="DD460" s="12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X460" s="9"/>
      <c r="EY460" s="9"/>
      <c r="EZ460" s="9"/>
      <c r="FA460" s="15"/>
      <c r="FB460" s="14"/>
      <c r="FC460" s="10"/>
      <c r="FD460" s="10"/>
      <c r="FE460" s="10"/>
      <c r="FF460" s="10"/>
      <c r="FG460" s="10"/>
      <c r="FH460" s="10"/>
    </row>
    <row r="461" spans="2:164" x14ac:dyDescent="0.25">
      <c r="B461"/>
      <c r="C461"/>
      <c r="D461"/>
      <c r="E461"/>
      <c r="F461" s="16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s="16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 s="12"/>
      <c r="AK461" s="12"/>
      <c r="AL461" s="17"/>
      <c r="AN461" s="17"/>
      <c r="AP461" s="17"/>
      <c r="AQ461" s="12"/>
      <c r="AR461" s="12"/>
      <c r="AT461" s="17"/>
      <c r="AU461" s="12"/>
      <c r="AV461" s="12"/>
      <c r="AW461" s="17"/>
      <c r="AX461" s="12"/>
      <c r="AY461" s="12"/>
      <c r="BA461" s="12"/>
      <c r="BB461" s="12"/>
      <c r="BD461" s="12"/>
      <c r="BE461" s="12"/>
      <c r="BG461" s="12"/>
      <c r="BH461" s="12"/>
      <c r="BJ461" s="12"/>
      <c r="BK461" s="12"/>
      <c r="BM461" s="12"/>
      <c r="BN461" s="12"/>
      <c r="BO461" s="17"/>
      <c r="BQ461" s="12"/>
      <c r="BR461" s="12"/>
      <c r="BU461" s="12"/>
      <c r="BV461" s="12"/>
      <c r="BW461" s="17"/>
      <c r="BX461" s="17"/>
      <c r="BY461" s="12"/>
      <c r="BZ461" s="12"/>
      <c r="CC461" s="12"/>
      <c r="CD461" s="12"/>
      <c r="CG461" s="12"/>
      <c r="CH461" s="12"/>
      <c r="CJ461" s="12"/>
      <c r="CK461" s="12"/>
      <c r="CL461" s="17"/>
      <c r="CM461" s="17"/>
      <c r="CN461" s="12"/>
      <c r="CO461" s="12"/>
      <c r="CT461"/>
      <c r="CV461" s="12"/>
      <c r="CW461" s="12"/>
      <c r="CZ461" s="12"/>
      <c r="DA461" s="12"/>
      <c r="DC461" s="12"/>
      <c r="DD461" s="12"/>
      <c r="DF461" s="17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X461" s="9"/>
      <c r="EY461" s="9"/>
      <c r="EZ461" s="9"/>
      <c r="FA461" s="15"/>
      <c r="FB461" s="14"/>
      <c r="FC461" s="10"/>
      <c r="FD461" s="10"/>
      <c r="FE461" s="10"/>
      <c r="FF461" s="10"/>
      <c r="FG461" s="10"/>
      <c r="FH461" s="10"/>
    </row>
    <row r="462" spans="2:164" x14ac:dyDescent="0.25">
      <c r="B462"/>
      <c r="C462"/>
      <c r="D462"/>
      <c r="E462"/>
      <c r="F462" s="16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s="16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 s="12"/>
      <c r="AK462" s="12"/>
      <c r="AL462" s="17"/>
      <c r="AN462" s="17"/>
      <c r="AP462" s="17"/>
      <c r="AQ462" s="12"/>
      <c r="AR462" s="12"/>
      <c r="AT462" s="17"/>
      <c r="AU462" s="12"/>
      <c r="AV462" s="12"/>
      <c r="AW462" s="17"/>
      <c r="AX462" s="12"/>
      <c r="AY462" s="12"/>
      <c r="BA462" s="12"/>
      <c r="BB462" s="12"/>
      <c r="BD462" s="12"/>
      <c r="BE462" s="12"/>
      <c r="BG462" s="12"/>
      <c r="BH462" s="12"/>
      <c r="BJ462" s="12"/>
      <c r="BK462" s="12"/>
      <c r="BM462" s="12"/>
      <c r="BN462" s="12"/>
      <c r="BO462" s="17"/>
      <c r="BQ462" s="12"/>
      <c r="BR462" s="12"/>
      <c r="BU462" s="12"/>
      <c r="BV462" s="12"/>
      <c r="BY462" s="12"/>
      <c r="BZ462" s="12"/>
      <c r="CC462" s="12"/>
      <c r="CD462" s="12"/>
      <c r="CG462" s="12"/>
      <c r="CH462" s="12"/>
      <c r="CJ462" s="12"/>
      <c r="CK462" s="12"/>
      <c r="CN462" s="12"/>
      <c r="CO462" s="12"/>
      <c r="CT462"/>
      <c r="CV462" s="12"/>
      <c r="CW462" s="12"/>
      <c r="CZ462" s="12"/>
      <c r="DA462" s="12"/>
      <c r="DC462" s="12"/>
      <c r="DD462" s="1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X462" s="9"/>
      <c r="EY462" s="9"/>
      <c r="EZ462" s="9"/>
      <c r="FA462" s="15"/>
      <c r="FB462" s="14"/>
      <c r="FC462" s="10"/>
      <c r="FD462" s="10"/>
      <c r="FE462" s="10"/>
      <c r="FF462" s="10"/>
      <c r="FG462" s="10"/>
      <c r="FH462" s="10"/>
    </row>
    <row r="463" spans="2:164" x14ac:dyDescent="0.25">
      <c r="B463"/>
      <c r="C463"/>
      <c r="D463"/>
      <c r="E463"/>
      <c r="F463" s="16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 s="16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 s="12"/>
      <c r="AK463" s="12"/>
      <c r="AL463" s="17"/>
      <c r="AN463" s="17"/>
      <c r="AP463" s="17"/>
      <c r="AQ463" s="12"/>
      <c r="AR463" s="12"/>
      <c r="AT463" s="17"/>
      <c r="AU463" s="12"/>
      <c r="AV463" s="12"/>
      <c r="AW463" s="17"/>
      <c r="AX463" s="12"/>
      <c r="AY463" s="12"/>
      <c r="BA463" s="12"/>
      <c r="BB463" s="12"/>
      <c r="BD463" s="12"/>
      <c r="BE463" s="12"/>
      <c r="BG463" s="12"/>
      <c r="BH463" s="12"/>
      <c r="BJ463" s="12"/>
      <c r="BK463" s="12"/>
      <c r="BM463" s="12"/>
      <c r="BN463" s="12"/>
      <c r="BQ463" s="12"/>
      <c r="BR463" s="12"/>
      <c r="BU463" s="12"/>
      <c r="BV463" s="12"/>
      <c r="BY463" s="12"/>
      <c r="BZ463" s="12"/>
      <c r="CC463" s="12"/>
      <c r="CD463" s="12"/>
      <c r="CG463" s="12"/>
      <c r="CH463" s="12"/>
      <c r="CJ463" s="12"/>
      <c r="CK463" s="12"/>
      <c r="CN463" s="12"/>
      <c r="CO463" s="12"/>
      <c r="CT463"/>
      <c r="CV463" s="12"/>
      <c r="CW463" s="12"/>
      <c r="CZ463" s="12"/>
      <c r="DA463" s="12"/>
      <c r="DC463" s="12"/>
      <c r="DD463" s="12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X463" s="9"/>
      <c r="EY463" s="9"/>
      <c r="EZ463" s="9"/>
      <c r="FA463" s="15"/>
      <c r="FB463" s="14"/>
      <c r="FC463" s="10"/>
      <c r="FD463" s="10"/>
      <c r="FE463" s="10"/>
      <c r="FF463" s="10"/>
      <c r="FG463" s="10"/>
      <c r="FH463" s="10"/>
    </row>
    <row r="464" spans="2:164" x14ac:dyDescent="0.25">
      <c r="B464"/>
      <c r="C464"/>
      <c r="D464"/>
      <c r="E464"/>
      <c r="F464" s="16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 s="16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 s="12"/>
      <c r="AK464" s="12"/>
      <c r="AL464" s="17"/>
      <c r="AN464" s="17"/>
      <c r="AP464" s="17"/>
      <c r="AQ464" s="12"/>
      <c r="AR464" s="12"/>
      <c r="AT464" s="17"/>
      <c r="AU464" s="12"/>
      <c r="AV464" s="12"/>
      <c r="AW464" s="17"/>
      <c r="AX464" s="12"/>
      <c r="AY464" s="12"/>
      <c r="BA464" s="12"/>
      <c r="BB464" s="12"/>
      <c r="BD464" s="12"/>
      <c r="BE464" s="12"/>
      <c r="BG464" s="12"/>
      <c r="BH464" s="12"/>
      <c r="BJ464" s="12"/>
      <c r="BK464" s="12"/>
      <c r="BM464" s="12"/>
      <c r="BN464" s="12"/>
      <c r="BO464" s="17"/>
      <c r="BQ464" s="12"/>
      <c r="BR464" s="12"/>
      <c r="BS464" s="17"/>
      <c r="BT464" s="17"/>
      <c r="BU464" s="12"/>
      <c r="BV464" s="12"/>
      <c r="BY464" s="12"/>
      <c r="BZ464" s="12"/>
      <c r="CC464" s="12"/>
      <c r="CD464" s="12"/>
      <c r="CG464" s="12"/>
      <c r="CH464" s="12"/>
      <c r="CI464" s="17"/>
      <c r="CJ464" s="12"/>
      <c r="CK464" s="12"/>
      <c r="CN464" s="12"/>
      <c r="CO464" s="12"/>
      <c r="CT464"/>
      <c r="CV464" s="12"/>
      <c r="CW464" s="12"/>
      <c r="CZ464" s="12"/>
      <c r="DA464" s="12"/>
      <c r="DC464" s="12"/>
      <c r="DD464" s="12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X464" s="9"/>
      <c r="EY464" s="9"/>
      <c r="EZ464" s="9"/>
      <c r="FA464" s="15"/>
      <c r="FB464" s="14"/>
      <c r="FC464" s="10"/>
      <c r="FD464" s="10"/>
      <c r="FE464" s="10"/>
      <c r="FF464" s="10"/>
      <c r="FG464" s="10"/>
      <c r="FH464" s="10"/>
    </row>
    <row r="465" spans="2:164" x14ac:dyDescent="0.25">
      <c r="B465"/>
      <c r="C465"/>
      <c r="D465"/>
      <c r="E465"/>
      <c r="F465" s="16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s="16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 s="12"/>
      <c r="AK465" s="12"/>
      <c r="AL465" s="17"/>
      <c r="AN465" s="17"/>
      <c r="AP465" s="17"/>
      <c r="AQ465" s="12"/>
      <c r="AR465" s="12"/>
      <c r="AT465" s="17"/>
      <c r="AU465" s="12"/>
      <c r="AV465" s="12"/>
      <c r="AW465" s="17"/>
      <c r="AX465" s="12"/>
      <c r="AY465" s="12"/>
      <c r="BA465" s="12"/>
      <c r="BB465" s="12"/>
      <c r="BD465" s="12"/>
      <c r="BE465" s="12"/>
      <c r="BG465" s="12"/>
      <c r="BH465" s="12"/>
      <c r="BJ465" s="12"/>
      <c r="BK465" s="12"/>
      <c r="BM465" s="12"/>
      <c r="BN465" s="12"/>
      <c r="BO465" s="17"/>
      <c r="BQ465" s="12"/>
      <c r="BR465" s="12"/>
      <c r="BS465" s="17"/>
      <c r="BT465" s="17"/>
      <c r="BU465" s="12"/>
      <c r="BV465" s="12"/>
      <c r="BY465" s="12"/>
      <c r="BZ465" s="12"/>
      <c r="CC465" s="12"/>
      <c r="CD465" s="12"/>
      <c r="CG465" s="12"/>
      <c r="CH465" s="12"/>
      <c r="CI465" s="17"/>
      <c r="CJ465" s="12"/>
      <c r="CK465" s="12"/>
      <c r="CN465" s="12"/>
      <c r="CO465" s="12"/>
      <c r="CT465"/>
      <c r="CV465" s="12"/>
      <c r="CW465" s="12"/>
      <c r="CZ465" s="12"/>
      <c r="DA465" s="12"/>
      <c r="DC465" s="12"/>
      <c r="DD465" s="12"/>
      <c r="DE465" s="17"/>
      <c r="DF465" s="17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X465" s="9"/>
      <c r="EY465" s="9"/>
      <c r="EZ465" s="9"/>
      <c r="FA465" s="15"/>
      <c r="FB465" s="14"/>
      <c r="FC465" s="10"/>
      <c r="FD465" s="10"/>
      <c r="FE465" s="10"/>
      <c r="FF465" s="10"/>
      <c r="FG465" s="10"/>
      <c r="FH465" s="10"/>
    </row>
    <row r="466" spans="2:164" x14ac:dyDescent="0.25">
      <c r="B466"/>
      <c r="C466"/>
      <c r="D466"/>
      <c r="E466"/>
      <c r="F466" s="1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s="1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 s="12"/>
      <c r="AK466" s="12"/>
      <c r="AL466" s="17"/>
      <c r="AN466" s="17"/>
      <c r="AP466" s="17"/>
      <c r="AQ466" s="12"/>
      <c r="AR466" s="12"/>
      <c r="AT466" s="17"/>
      <c r="AU466" s="12"/>
      <c r="AV466" s="12"/>
      <c r="AW466" s="17"/>
      <c r="AX466" s="12"/>
      <c r="AY466" s="12"/>
      <c r="BA466" s="12"/>
      <c r="BB466" s="12"/>
      <c r="BD466" s="12"/>
      <c r="BE466" s="12"/>
      <c r="BG466" s="12"/>
      <c r="BH466" s="12"/>
      <c r="BJ466" s="12"/>
      <c r="BK466" s="12"/>
      <c r="BM466" s="12"/>
      <c r="BN466" s="12"/>
      <c r="BO466" s="17"/>
      <c r="BQ466" s="12"/>
      <c r="BR466" s="12"/>
      <c r="BU466" s="12"/>
      <c r="BV466" s="12"/>
      <c r="BW466" s="17"/>
      <c r="BX466" s="17"/>
      <c r="BY466" s="12"/>
      <c r="BZ466" s="12"/>
      <c r="CC466" s="12"/>
      <c r="CD466" s="12"/>
      <c r="CG466" s="12"/>
      <c r="CH466" s="12"/>
      <c r="CJ466" s="12"/>
      <c r="CK466" s="12"/>
      <c r="CL466" s="17"/>
      <c r="CM466" s="17"/>
      <c r="CN466" s="12"/>
      <c r="CO466" s="12"/>
      <c r="CT466"/>
      <c r="CV466" s="12"/>
      <c r="CW466" s="12"/>
      <c r="CZ466" s="12"/>
      <c r="DA466" s="12"/>
      <c r="DC466" s="12"/>
      <c r="DD466" s="12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X466" s="9"/>
      <c r="EY466" s="9"/>
      <c r="EZ466" s="9"/>
      <c r="FA466" s="15"/>
      <c r="FB466" s="14"/>
      <c r="FC466" s="10"/>
      <c r="FD466" s="10"/>
      <c r="FE466" s="10"/>
      <c r="FF466" s="10"/>
      <c r="FG466" s="10"/>
      <c r="FH466" s="10"/>
    </row>
    <row r="467" spans="2:164" x14ac:dyDescent="0.25">
      <c r="B467"/>
      <c r="C467"/>
      <c r="D467"/>
      <c r="E467"/>
      <c r="F467" s="16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 s="16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 s="12"/>
      <c r="AK467" s="12"/>
      <c r="AL467" s="17"/>
      <c r="AN467" s="17"/>
      <c r="AP467" s="17"/>
      <c r="AQ467" s="12"/>
      <c r="AR467" s="12"/>
      <c r="AT467" s="17"/>
      <c r="AU467" s="12"/>
      <c r="AV467" s="12"/>
      <c r="AW467" s="17"/>
      <c r="AX467" s="12"/>
      <c r="AY467" s="12"/>
      <c r="BA467" s="12"/>
      <c r="BB467" s="12"/>
      <c r="BD467" s="12"/>
      <c r="BE467" s="12"/>
      <c r="BG467" s="12"/>
      <c r="BH467" s="12"/>
      <c r="BJ467" s="12"/>
      <c r="BK467" s="12"/>
      <c r="BM467" s="12"/>
      <c r="BN467" s="12"/>
      <c r="BO467" s="17"/>
      <c r="BQ467" s="12"/>
      <c r="BR467" s="12"/>
      <c r="BU467" s="12"/>
      <c r="BV467" s="12"/>
      <c r="BW467" s="17"/>
      <c r="BX467" s="17"/>
      <c r="BY467" s="12"/>
      <c r="BZ467" s="12"/>
      <c r="CC467" s="12"/>
      <c r="CD467" s="12"/>
      <c r="CG467" s="12"/>
      <c r="CH467" s="12"/>
      <c r="CI467" s="17"/>
      <c r="CJ467" s="12"/>
      <c r="CK467" s="12"/>
      <c r="CN467" s="12"/>
      <c r="CO467" s="12"/>
      <c r="CT467"/>
      <c r="CV467" s="12"/>
      <c r="CW467" s="12"/>
      <c r="CZ467" s="12"/>
      <c r="DA467" s="12"/>
      <c r="DB467" s="17"/>
      <c r="DC467" s="12"/>
      <c r="DD467" s="12"/>
      <c r="DE467" s="17"/>
      <c r="DF467" s="1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X467" s="9"/>
      <c r="EY467" s="9"/>
      <c r="EZ467" s="9"/>
      <c r="FA467" s="15"/>
      <c r="FB467" s="14"/>
      <c r="FC467" s="10"/>
      <c r="FD467" s="10"/>
      <c r="FE467" s="10"/>
      <c r="FF467" s="10"/>
      <c r="FG467" s="10"/>
      <c r="FH467" s="10"/>
    </row>
    <row r="468" spans="2:164" x14ac:dyDescent="0.25">
      <c r="B468"/>
      <c r="C468"/>
      <c r="D468"/>
      <c r="E468"/>
      <c r="F468" s="16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 s="16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 s="12"/>
      <c r="AK468" s="12"/>
      <c r="AL468" s="17"/>
      <c r="AN468" s="17"/>
      <c r="AP468" s="17"/>
      <c r="AQ468" s="12"/>
      <c r="AR468" s="12"/>
      <c r="AT468" s="17"/>
      <c r="AU468" s="12"/>
      <c r="AV468" s="12"/>
      <c r="AW468" s="17"/>
      <c r="AX468" s="12"/>
      <c r="AY468" s="12"/>
      <c r="BA468" s="12"/>
      <c r="BB468" s="12"/>
      <c r="BD468" s="12"/>
      <c r="BE468" s="12"/>
      <c r="BG468" s="12"/>
      <c r="BH468" s="12"/>
      <c r="BJ468" s="12"/>
      <c r="BK468" s="12"/>
      <c r="BM468" s="12"/>
      <c r="BN468" s="12"/>
      <c r="BQ468" s="12"/>
      <c r="BR468" s="12"/>
      <c r="BU468" s="12"/>
      <c r="BV468" s="12"/>
      <c r="BY468" s="12"/>
      <c r="BZ468" s="12"/>
      <c r="CC468" s="12"/>
      <c r="CD468" s="12"/>
      <c r="CG468" s="12"/>
      <c r="CH468" s="12"/>
      <c r="CI468" s="17"/>
      <c r="CJ468" s="12"/>
      <c r="CK468" s="12"/>
      <c r="CN468" s="12"/>
      <c r="CO468" s="12"/>
      <c r="CT468"/>
      <c r="CV468" s="12"/>
      <c r="CW468" s="12"/>
      <c r="CZ468" s="12"/>
      <c r="DA468" s="12"/>
      <c r="DC468" s="12"/>
      <c r="DD468" s="12"/>
      <c r="DE468" s="17"/>
      <c r="DF468" s="17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X468" s="9"/>
      <c r="EY468" s="9"/>
      <c r="EZ468" s="9"/>
      <c r="FA468" s="15"/>
      <c r="FB468" s="14"/>
      <c r="FC468" s="10"/>
      <c r="FD468" s="10"/>
      <c r="FE468" s="10"/>
      <c r="FF468" s="10"/>
      <c r="FG468" s="10"/>
      <c r="FH468" s="10"/>
    </row>
    <row r="469" spans="2:164" x14ac:dyDescent="0.25">
      <c r="B469"/>
      <c r="C469"/>
      <c r="D469"/>
      <c r="E469"/>
      <c r="F469" s="16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 s="16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 s="12"/>
      <c r="AK469" s="12"/>
      <c r="AL469" s="17"/>
      <c r="AN469" s="17"/>
      <c r="AP469" s="17"/>
      <c r="AQ469" s="12"/>
      <c r="AR469" s="12"/>
      <c r="AT469" s="17"/>
      <c r="AU469" s="12"/>
      <c r="AV469" s="12"/>
      <c r="AW469" s="17"/>
      <c r="AX469" s="12"/>
      <c r="AY469" s="12"/>
      <c r="BA469" s="12"/>
      <c r="BB469" s="12"/>
      <c r="BD469" s="12"/>
      <c r="BE469" s="12"/>
      <c r="BG469" s="12"/>
      <c r="BH469" s="12"/>
      <c r="BJ469" s="12"/>
      <c r="BK469" s="12"/>
      <c r="BM469" s="12"/>
      <c r="BN469" s="12"/>
      <c r="BO469" s="17"/>
      <c r="BQ469" s="12"/>
      <c r="BR469" s="12"/>
      <c r="BS469" s="17"/>
      <c r="BT469" s="17"/>
      <c r="BU469" s="12"/>
      <c r="BV469" s="12"/>
      <c r="BY469" s="12"/>
      <c r="BZ469" s="12"/>
      <c r="CC469" s="12"/>
      <c r="CD469" s="12"/>
      <c r="CG469" s="12"/>
      <c r="CH469" s="12"/>
      <c r="CJ469" s="12"/>
      <c r="CK469" s="12"/>
      <c r="CN469" s="12"/>
      <c r="CO469" s="12"/>
      <c r="CT469"/>
      <c r="CV469" s="12"/>
      <c r="CW469" s="12"/>
      <c r="CZ469" s="12"/>
      <c r="DA469" s="12"/>
      <c r="DC469" s="12"/>
      <c r="DD469" s="12"/>
      <c r="DE469" s="17"/>
      <c r="DF469" s="17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X469" s="9"/>
      <c r="EY469" s="9"/>
      <c r="EZ469" s="9"/>
      <c r="FA469" s="15"/>
      <c r="FB469" s="14"/>
      <c r="FC469" s="10"/>
      <c r="FD469" s="10"/>
      <c r="FE469" s="10"/>
      <c r="FF469" s="10"/>
      <c r="FG469" s="10"/>
      <c r="FH469" s="10"/>
    </row>
    <row r="470" spans="2:164" x14ac:dyDescent="0.25">
      <c r="B470"/>
      <c r="C470"/>
      <c r="D470"/>
      <c r="E470"/>
      <c r="F470" s="16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 s="16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 s="12"/>
      <c r="AK470" s="12"/>
      <c r="AL470" s="17"/>
      <c r="AN470" s="17"/>
      <c r="AP470" s="17"/>
      <c r="AQ470" s="12"/>
      <c r="AR470" s="12"/>
      <c r="AT470" s="17"/>
      <c r="AU470" s="12"/>
      <c r="AV470" s="12"/>
      <c r="AW470" s="17"/>
      <c r="AX470" s="12"/>
      <c r="AY470" s="12"/>
      <c r="BA470" s="12"/>
      <c r="BB470" s="12"/>
      <c r="BD470" s="12"/>
      <c r="BE470" s="12"/>
      <c r="BG470" s="12"/>
      <c r="BH470" s="12"/>
      <c r="BJ470" s="12"/>
      <c r="BK470" s="12"/>
      <c r="BM470" s="12"/>
      <c r="BN470" s="12"/>
      <c r="BO470" s="17"/>
      <c r="BQ470" s="12"/>
      <c r="BR470" s="12"/>
      <c r="BS470" s="17"/>
      <c r="BT470" s="17"/>
      <c r="BU470" s="12"/>
      <c r="BV470" s="12"/>
      <c r="BY470" s="12"/>
      <c r="BZ470" s="12"/>
      <c r="CC470" s="12"/>
      <c r="CD470" s="12"/>
      <c r="CG470" s="12"/>
      <c r="CH470" s="12"/>
      <c r="CI470" s="17"/>
      <c r="CJ470" s="12"/>
      <c r="CK470" s="12"/>
      <c r="CN470" s="12"/>
      <c r="CO470" s="12"/>
      <c r="CT470"/>
      <c r="CV470" s="12"/>
      <c r="CW470" s="12"/>
      <c r="CZ470" s="12"/>
      <c r="DA470" s="12"/>
      <c r="DC470" s="12"/>
      <c r="DD470" s="12"/>
      <c r="DE470" s="17"/>
      <c r="DF470" s="17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X470" s="9"/>
      <c r="EY470" s="9"/>
      <c r="EZ470" s="9"/>
      <c r="FA470" s="15"/>
      <c r="FB470" s="14"/>
      <c r="FC470" s="10"/>
      <c r="FD470" s="10"/>
      <c r="FE470" s="10"/>
      <c r="FF470" s="10"/>
      <c r="FG470" s="10"/>
      <c r="FH470" s="10"/>
    </row>
    <row r="471" spans="2:164" x14ac:dyDescent="0.25">
      <c r="B471"/>
      <c r="C471"/>
      <c r="D471"/>
      <c r="E471"/>
      <c r="F471" s="16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 s="16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 s="12"/>
      <c r="AK471" s="12"/>
      <c r="AL471" s="17"/>
      <c r="AN471" s="17"/>
      <c r="AP471" s="17"/>
      <c r="AQ471" s="12"/>
      <c r="AR471" s="12"/>
      <c r="AT471" s="17"/>
      <c r="AU471" s="12"/>
      <c r="AV471" s="12"/>
      <c r="AW471" s="17"/>
      <c r="AX471" s="12"/>
      <c r="AY471" s="12"/>
      <c r="BA471" s="12"/>
      <c r="BB471" s="12"/>
      <c r="BD471" s="12"/>
      <c r="BE471" s="12"/>
      <c r="BG471" s="12"/>
      <c r="BH471" s="12"/>
      <c r="BJ471" s="12"/>
      <c r="BK471" s="12"/>
      <c r="BM471" s="12"/>
      <c r="BN471" s="12"/>
      <c r="BO471" s="17"/>
      <c r="BQ471" s="12"/>
      <c r="BR471" s="12"/>
      <c r="BU471" s="12"/>
      <c r="BV471" s="12"/>
      <c r="BY471" s="12"/>
      <c r="BZ471" s="12"/>
      <c r="CA471" s="17"/>
      <c r="CB471" s="17"/>
      <c r="CC471" s="12"/>
      <c r="CD471" s="12"/>
      <c r="CG471" s="12"/>
      <c r="CH471" s="12"/>
      <c r="CJ471" s="12"/>
      <c r="CK471" s="12"/>
      <c r="CN471" s="12"/>
      <c r="CO471" s="12"/>
      <c r="CT471"/>
      <c r="CV471" s="12"/>
      <c r="CW471" s="12"/>
      <c r="CZ471" s="12"/>
      <c r="DA471" s="12"/>
      <c r="DC471" s="12"/>
      <c r="DD471" s="12"/>
      <c r="DF471" s="17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X471" s="9"/>
      <c r="EY471" s="9"/>
      <c r="EZ471" s="9"/>
      <c r="FA471" s="15"/>
      <c r="FB471" s="14"/>
      <c r="FC471" s="10"/>
      <c r="FD471" s="10"/>
      <c r="FE471" s="10"/>
      <c r="FF471" s="10"/>
      <c r="FG471" s="10"/>
      <c r="FH471" s="10"/>
    </row>
    <row r="472" spans="2:164" x14ac:dyDescent="0.25">
      <c r="B472"/>
      <c r="C472"/>
      <c r="D472"/>
      <c r="E472"/>
      <c r="F472" s="16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 s="16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 s="12"/>
      <c r="AK472" s="12"/>
      <c r="AL472" s="17"/>
      <c r="AN472" s="17"/>
      <c r="AP472" s="17"/>
      <c r="AQ472" s="12"/>
      <c r="AR472" s="12"/>
      <c r="AT472" s="17"/>
      <c r="AU472" s="12"/>
      <c r="AV472" s="12"/>
      <c r="AW472" s="17"/>
      <c r="AX472" s="12"/>
      <c r="AY472" s="12"/>
      <c r="BA472" s="12"/>
      <c r="BB472" s="12"/>
      <c r="BD472" s="12"/>
      <c r="BE472" s="12"/>
      <c r="BG472" s="12"/>
      <c r="BH472" s="12"/>
      <c r="BJ472" s="12"/>
      <c r="BK472" s="12"/>
      <c r="BM472" s="12"/>
      <c r="BN472" s="12"/>
      <c r="BO472" s="17"/>
      <c r="BQ472" s="12"/>
      <c r="BR472" s="12"/>
      <c r="BU472" s="12"/>
      <c r="BV472" s="12"/>
      <c r="BY472" s="12"/>
      <c r="BZ472" s="12"/>
      <c r="CA472" s="17"/>
      <c r="CB472" s="17"/>
      <c r="CC472" s="12"/>
      <c r="CD472" s="12"/>
      <c r="CG472" s="12"/>
      <c r="CH472" s="12"/>
      <c r="CJ472" s="12"/>
      <c r="CK472" s="12"/>
      <c r="CN472" s="12"/>
      <c r="CO472" s="12"/>
      <c r="CT472"/>
      <c r="CV472" s="12"/>
      <c r="CW472" s="12"/>
      <c r="CZ472" s="12"/>
      <c r="DA472" s="12"/>
      <c r="DC472" s="12"/>
      <c r="DD472" s="12"/>
      <c r="DE472" s="17"/>
      <c r="DF472" s="17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X472" s="9"/>
      <c r="EY472" s="9"/>
      <c r="EZ472" s="9"/>
      <c r="FA472" s="15"/>
      <c r="FB472" s="14"/>
      <c r="FC472" s="10"/>
      <c r="FD472" s="10"/>
      <c r="FE472" s="10"/>
      <c r="FF472" s="10"/>
      <c r="FG472" s="10"/>
      <c r="FH472" s="10"/>
    </row>
    <row r="473" spans="2:164" x14ac:dyDescent="0.25">
      <c r="B473"/>
      <c r="C473"/>
      <c r="D473"/>
      <c r="E473"/>
      <c r="F473" s="16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 s="16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 s="12"/>
      <c r="AK473" s="12"/>
      <c r="AL473" s="17"/>
      <c r="AN473" s="17"/>
      <c r="AP473" s="17"/>
      <c r="AQ473" s="12"/>
      <c r="AR473" s="12"/>
      <c r="AT473" s="17"/>
      <c r="AU473" s="12"/>
      <c r="AV473" s="12"/>
      <c r="AW473" s="17"/>
      <c r="AX473" s="12"/>
      <c r="AY473" s="12"/>
      <c r="AZ473" s="17"/>
      <c r="BA473" s="12"/>
      <c r="BB473" s="12"/>
      <c r="BD473" s="12"/>
      <c r="BE473" s="12"/>
      <c r="BG473" s="12"/>
      <c r="BH473" s="12"/>
      <c r="BJ473" s="12"/>
      <c r="BK473" s="12"/>
      <c r="BM473" s="12"/>
      <c r="BN473" s="12"/>
      <c r="BO473" s="17"/>
      <c r="BQ473" s="12"/>
      <c r="BR473" s="12"/>
      <c r="BU473" s="12"/>
      <c r="BV473" s="12"/>
      <c r="BW473" s="17"/>
      <c r="BX473" s="17"/>
      <c r="BY473" s="12"/>
      <c r="BZ473" s="12"/>
      <c r="CC473" s="12"/>
      <c r="CD473" s="12"/>
      <c r="CG473" s="12"/>
      <c r="CH473" s="12"/>
      <c r="CI473" s="17"/>
      <c r="CJ473" s="12"/>
      <c r="CK473" s="12"/>
      <c r="CN473" s="12"/>
      <c r="CO473" s="12"/>
      <c r="CT473"/>
      <c r="CV473" s="12"/>
      <c r="CW473" s="12"/>
      <c r="CZ473" s="12"/>
      <c r="DA473" s="12"/>
      <c r="DB473" s="17"/>
      <c r="DC473" s="12"/>
      <c r="DD473" s="12"/>
      <c r="DF473" s="17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X473" s="9"/>
      <c r="EY473" s="9"/>
      <c r="EZ473" s="9"/>
      <c r="FA473" s="15"/>
      <c r="FB473" s="14"/>
      <c r="FC473" s="10"/>
      <c r="FD473" s="10"/>
      <c r="FE473" s="10"/>
      <c r="FF473" s="10"/>
      <c r="FG473" s="10"/>
      <c r="FH473" s="10"/>
    </row>
    <row r="474" spans="2:164" x14ac:dyDescent="0.25">
      <c r="B474"/>
      <c r="C474"/>
      <c r="D474"/>
      <c r="E474"/>
      <c r="F474" s="16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 s="16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 s="12"/>
      <c r="AK474" s="12"/>
      <c r="AL474" s="17"/>
      <c r="AN474" s="17"/>
      <c r="AP474" s="17"/>
      <c r="AQ474" s="12"/>
      <c r="AR474" s="12"/>
      <c r="AT474" s="17"/>
      <c r="AU474" s="12"/>
      <c r="AV474" s="12"/>
      <c r="AW474" s="17"/>
      <c r="AX474" s="12"/>
      <c r="AY474" s="12"/>
      <c r="BA474" s="12"/>
      <c r="BB474" s="12"/>
      <c r="BD474" s="12"/>
      <c r="BE474" s="12"/>
      <c r="BG474" s="12"/>
      <c r="BH474" s="12"/>
      <c r="BJ474" s="12"/>
      <c r="BK474" s="12"/>
      <c r="BM474" s="12"/>
      <c r="BN474" s="12"/>
      <c r="BO474" s="17"/>
      <c r="BQ474" s="12"/>
      <c r="BR474" s="12"/>
      <c r="BU474" s="12"/>
      <c r="BV474" s="12"/>
      <c r="BW474" s="17"/>
      <c r="BX474" s="17"/>
      <c r="BY474" s="12"/>
      <c r="BZ474" s="12"/>
      <c r="CC474" s="12"/>
      <c r="CD474" s="12"/>
      <c r="CG474" s="12"/>
      <c r="CH474" s="12"/>
      <c r="CI474" s="17"/>
      <c r="CJ474" s="12"/>
      <c r="CK474" s="12"/>
      <c r="CN474" s="12"/>
      <c r="CO474" s="12"/>
      <c r="CT474"/>
      <c r="CV474" s="12"/>
      <c r="CW474" s="12"/>
      <c r="CZ474" s="12"/>
      <c r="DA474" s="12"/>
      <c r="DB474" s="17"/>
      <c r="DC474" s="12"/>
      <c r="DD474" s="12"/>
      <c r="DE474" s="17"/>
      <c r="DF474" s="17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X474" s="9"/>
      <c r="EY474" s="9"/>
      <c r="EZ474" s="9"/>
      <c r="FA474" s="15"/>
      <c r="FB474" s="14"/>
      <c r="FC474" s="10"/>
      <c r="FD474" s="10"/>
      <c r="FE474" s="10"/>
      <c r="FF474" s="10"/>
      <c r="FG474" s="10"/>
      <c r="FH474" s="10"/>
    </row>
    <row r="475" spans="2:164" x14ac:dyDescent="0.25">
      <c r="B475"/>
      <c r="C475"/>
      <c r="D475"/>
      <c r="E475"/>
      <c r="F475" s="16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 s="16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 s="12"/>
      <c r="AK475" s="12"/>
      <c r="AL475" s="17"/>
      <c r="AN475" s="17"/>
      <c r="AP475" s="17"/>
      <c r="AQ475" s="12"/>
      <c r="AR475" s="12"/>
      <c r="AT475" s="17"/>
      <c r="AU475" s="12"/>
      <c r="AV475" s="12"/>
      <c r="AW475" s="17"/>
      <c r="AX475" s="12"/>
      <c r="AY475" s="12"/>
      <c r="BA475" s="12"/>
      <c r="BB475" s="12"/>
      <c r="BD475" s="12"/>
      <c r="BE475" s="12"/>
      <c r="BG475" s="12"/>
      <c r="BH475" s="12"/>
      <c r="BJ475" s="12"/>
      <c r="BK475" s="12"/>
      <c r="BM475" s="12"/>
      <c r="BN475" s="12"/>
      <c r="BO475" s="17"/>
      <c r="BQ475" s="12"/>
      <c r="BR475" s="12"/>
      <c r="BU475" s="12"/>
      <c r="BV475" s="12"/>
      <c r="BY475" s="12"/>
      <c r="BZ475" s="12"/>
      <c r="CC475" s="12"/>
      <c r="CD475" s="12"/>
      <c r="CG475" s="12"/>
      <c r="CH475" s="12"/>
      <c r="CJ475" s="12"/>
      <c r="CK475" s="12"/>
      <c r="CN475" s="12"/>
      <c r="CO475" s="12"/>
      <c r="CT475"/>
      <c r="CV475" s="12"/>
      <c r="CW475" s="12"/>
      <c r="CZ475" s="12"/>
      <c r="DA475" s="12"/>
      <c r="DC475" s="12"/>
      <c r="DD475" s="12"/>
      <c r="DF475" s="17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X475" s="9"/>
      <c r="EY475" s="9"/>
      <c r="EZ475" s="9"/>
      <c r="FA475" s="15"/>
      <c r="FB475" s="14"/>
      <c r="FC475" s="10"/>
      <c r="FD475" s="10"/>
      <c r="FE475" s="10"/>
      <c r="FF475" s="10"/>
      <c r="FG475" s="10"/>
      <c r="FH475" s="10"/>
    </row>
    <row r="476" spans="2:164" x14ac:dyDescent="0.25">
      <c r="B476"/>
      <c r="C476"/>
      <c r="D476"/>
      <c r="E476"/>
      <c r="F476" s="1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 s="1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 s="12"/>
      <c r="AK476" s="12"/>
      <c r="AL476" s="17"/>
      <c r="AN476" s="17"/>
      <c r="AP476" s="17"/>
      <c r="AQ476" s="12"/>
      <c r="AR476" s="12"/>
      <c r="AT476" s="17"/>
      <c r="AU476" s="12"/>
      <c r="AV476" s="12"/>
      <c r="AW476" s="17"/>
      <c r="AX476" s="12"/>
      <c r="AY476" s="12"/>
      <c r="BA476" s="12"/>
      <c r="BB476" s="12"/>
      <c r="BD476" s="12"/>
      <c r="BE476" s="12"/>
      <c r="BG476" s="12"/>
      <c r="BH476" s="12"/>
      <c r="BJ476" s="12"/>
      <c r="BK476" s="12"/>
      <c r="BM476" s="12"/>
      <c r="BN476" s="12"/>
      <c r="BO476" s="17"/>
      <c r="BQ476" s="12"/>
      <c r="BR476" s="12"/>
      <c r="BU476" s="12"/>
      <c r="BV476" s="12"/>
      <c r="BW476" s="17"/>
      <c r="BX476" s="17"/>
      <c r="BY476" s="12"/>
      <c r="BZ476" s="12"/>
      <c r="CC476" s="12"/>
      <c r="CD476" s="12"/>
      <c r="CG476" s="12"/>
      <c r="CH476" s="12"/>
      <c r="CI476" s="17"/>
      <c r="CJ476" s="12"/>
      <c r="CK476" s="12"/>
      <c r="CN476" s="12"/>
      <c r="CO476" s="12"/>
      <c r="CT476"/>
      <c r="CV476" s="12"/>
      <c r="CW476" s="12"/>
      <c r="CZ476" s="12"/>
      <c r="DA476" s="12"/>
      <c r="DC476" s="12"/>
      <c r="DD476" s="12"/>
      <c r="DE476" s="17"/>
      <c r="DF476" s="17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X476" s="9"/>
      <c r="EY476" s="9"/>
      <c r="EZ476" s="9"/>
      <c r="FA476" s="15"/>
      <c r="FB476" s="14"/>
      <c r="FC476" s="10"/>
      <c r="FD476" s="10"/>
      <c r="FE476" s="10"/>
      <c r="FF476" s="10"/>
      <c r="FG476" s="10"/>
      <c r="FH476" s="10"/>
    </row>
    <row r="477" spans="2:164" x14ac:dyDescent="0.25">
      <c r="B477"/>
      <c r="C477"/>
      <c r="D477"/>
      <c r="E477"/>
      <c r="F477" s="16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 s="16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 s="12"/>
      <c r="AK477" s="12"/>
      <c r="AL477" s="17"/>
      <c r="AN477" s="17"/>
      <c r="AP477" s="17"/>
      <c r="AQ477" s="12"/>
      <c r="AR477" s="12"/>
      <c r="AT477" s="17"/>
      <c r="AU477" s="12"/>
      <c r="AV477" s="12"/>
      <c r="AW477" s="17"/>
      <c r="AX477" s="12"/>
      <c r="AY477" s="12"/>
      <c r="BA477" s="12"/>
      <c r="BB477" s="12"/>
      <c r="BD477" s="12"/>
      <c r="BE477" s="12"/>
      <c r="BG477" s="12"/>
      <c r="BH477" s="12"/>
      <c r="BJ477" s="12"/>
      <c r="BK477" s="12"/>
      <c r="BM477" s="12"/>
      <c r="BN477" s="12"/>
      <c r="BO477" s="17"/>
      <c r="BQ477" s="12"/>
      <c r="BR477" s="12"/>
      <c r="BU477" s="12"/>
      <c r="BV477" s="12"/>
      <c r="BY477" s="12"/>
      <c r="BZ477" s="12"/>
      <c r="CC477" s="12"/>
      <c r="CD477" s="12"/>
      <c r="CG477" s="12"/>
      <c r="CH477" s="12"/>
      <c r="CJ477" s="12"/>
      <c r="CK477" s="12"/>
      <c r="CN477" s="12"/>
      <c r="CO477" s="12"/>
      <c r="CT477"/>
      <c r="CV477" s="12"/>
      <c r="CW477" s="12"/>
      <c r="CZ477" s="12"/>
      <c r="DA477" s="12"/>
      <c r="DC477" s="12"/>
      <c r="DD477" s="12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X477" s="9"/>
      <c r="EY477" s="9"/>
      <c r="EZ477" s="9"/>
      <c r="FA477" s="15"/>
      <c r="FB477" s="14"/>
      <c r="FC477" s="10"/>
      <c r="FD477" s="10"/>
      <c r="FE477" s="10"/>
      <c r="FF477" s="10"/>
      <c r="FG477" s="10"/>
      <c r="FH477" s="10"/>
    </row>
    <row r="478" spans="2:164" x14ac:dyDescent="0.25">
      <c r="B478"/>
      <c r="C478"/>
      <c r="D478"/>
      <c r="E478"/>
      <c r="F478" s="16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 s="16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 s="12"/>
      <c r="AK478" s="12"/>
      <c r="AL478" s="17"/>
      <c r="AN478" s="17"/>
      <c r="AP478" s="17"/>
      <c r="AQ478" s="12"/>
      <c r="AR478" s="12"/>
      <c r="AT478" s="17"/>
      <c r="AU478" s="12"/>
      <c r="AV478" s="12"/>
      <c r="AW478" s="17"/>
      <c r="AX478" s="12"/>
      <c r="AY478" s="12"/>
      <c r="BA478" s="12"/>
      <c r="BB478" s="12"/>
      <c r="BD478" s="12"/>
      <c r="BE478" s="12"/>
      <c r="BG478" s="12"/>
      <c r="BH478" s="12"/>
      <c r="BJ478" s="12"/>
      <c r="BK478" s="12"/>
      <c r="BM478" s="12"/>
      <c r="BN478" s="12"/>
      <c r="BO478" s="17"/>
      <c r="BQ478" s="12"/>
      <c r="BR478" s="12"/>
      <c r="BS478" s="17"/>
      <c r="BT478" s="17"/>
      <c r="BU478" s="12"/>
      <c r="BV478" s="12"/>
      <c r="BY478" s="12"/>
      <c r="BZ478" s="12"/>
      <c r="CC478" s="12"/>
      <c r="CD478" s="12"/>
      <c r="CG478" s="12"/>
      <c r="CH478" s="12"/>
      <c r="CI478" s="17"/>
      <c r="CJ478" s="12"/>
      <c r="CK478" s="12"/>
      <c r="CN478" s="12"/>
      <c r="CO478" s="12"/>
      <c r="CT478"/>
      <c r="CV478" s="12"/>
      <c r="CW478" s="12"/>
      <c r="CZ478" s="12"/>
      <c r="DA478" s="12"/>
      <c r="DC478" s="12"/>
      <c r="DD478" s="12"/>
      <c r="DE478" s="17"/>
      <c r="DF478" s="17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X478" s="9"/>
      <c r="EY478" s="9"/>
      <c r="EZ478" s="9"/>
      <c r="FA478" s="15"/>
      <c r="FB478" s="14"/>
      <c r="FC478" s="10"/>
      <c r="FD478" s="10"/>
      <c r="FE478" s="10"/>
      <c r="FF478" s="10"/>
      <c r="FG478" s="10"/>
      <c r="FH478" s="10"/>
    </row>
    <row r="479" spans="2:164" x14ac:dyDescent="0.25">
      <c r="B479"/>
      <c r="C479"/>
      <c r="D479"/>
      <c r="E479"/>
      <c r="F479" s="16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 s="16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 s="12"/>
      <c r="AK479" s="12"/>
      <c r="AL479" s="17"/>
      <c r="AN479" s="17"/>
      <c r="AP479" s="17"/>
      <c r="AQ479" s="12"/>
      <c r="AR479" s="12"/>
      <c r="AT479" s="17"/>
      <c r="AU479" s="12"/>
      <c r="AV479" s="12"/>
      <c r="AW479" s="17"/>
      <c r="AX479" s="12"/>
      <c r="AY479" s="12"/>
      <c r="BA479" s="12"/>
      <c r="BB479" s="12"/>
      <c r="BD479" s="12"/>
      <c r="BE479" s="12"/>
      <c r="BG479" s="12"/>
      <c r="BH479" s="12"/>
      <c r="BJ479" s="12"/>
      <c r="BK479" s="12"/>
      <c r="BM479" s="12"/>
      <c r="BN479" s="12"/>
      <c r="BO479" s="17"/>
      <c r="BQ479" s="12"/>
      <c r="BR479" s="12"/>
      <c r="BU479" s="12"/>
      <c r="BV479" s="12"/>
      <c r="BY479" s="12"/>
      <c r="BZ479" s="12"/>
      <c r="CA479" s="17"/>
      <c r="CB479" s="17"/>
      <c r="CC479" s="12"/>
      <c r="CD479" s="12"/>
      <c r="CG479" s="12"/>
      <c r="CH479" s="12"/>
      <c r="CJ479" s="12"/>
      <c r="CK479" s="12"/>
      <c r="CN479" s="12"/>
      <c r="CO479" s="12"/>
      <c r="CT479"/>
      <c r="CV479" s="12"/>
      <c r="CW479" s="12"/>
      <c r="CZ479" s="12"/>
      <c r="DA479" s="12"/>
      <c r="DC479" s="12"/>
      <c r="DD479" s="12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X479" s="9"/>
      <c r="EY479" s="9"/>
      <c r="EZ479" s="9"/>
      <c r="FA479" s="15"/>
      <c r="FB479" s="14"/>
      <c r="FC479" s="10"/>
      <c r="FD479" s="10"/>
      <c r="FE479" s="10"/>
      <c r="FF479" s="10"/>
      <c r="FG479" s="10"/>
      <c r="FH479" s="10"/>
    </row>
    <row r="480" spans="2:164" x14ac:dyDescent="0.25">
      <c r="B480"/>
      <c r="C480"/>
      <c r="D480"/>
      <c r="E480"/>
      <c r="F480" s="16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 s="16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 s="12"/>
      <c r="AK480" s="12"/>
      <c r="AL480" s="17"/>
      <c r="AN480" s="17"/>
      <c r="AP480" s="17"/>
      <c r="AQ480" s="12"/>
      <c r="AR480" s="12"/>
      <c r="AT480" s="17"/>
      <c r="AU480" s="12"/>
      <c r="AV480" s="12"/>
      <c r="AW480" s="17"/>
      <c r="AX480" s="12"/>
      <c r="AY480" s="12"/>
      <c r="BA480" s="12"/>
      <c r="BB480" s="12"/>
      <c r="BD480" s="12"/>
      <c r="BE480" s="12"/>
      <c r="BG480" s="12"/>
      <c r="BH480" s="12"/>
      <c r="BJ480" s="12"/>
      <c r="BK480" s="12"/>
      <c r="BM480" s="12"/>
      <c r="BN480" s="12"/>
      <c r="BO480" s="17"/>
      <c r="BQ480" s="12"/>
      <c r="BR480" s="12"/>
      <c r="BS480" s="17"/>
      <c r="BT480" s="17"/>
      <c r="BU480" s="12"/>
      <c r="BV480" s="12"/>
      <c r="BY480" s="12"/>
      <c r="BZ480" s="12"/>
      <c r="CC480" s="12"/>
      <c r="CD480" s="12"/>
      <c r="CG480" s="12"/>
      <c r="CH480" s="12"/>
      <c r="CI480" s="17"/>
      <c r="CJ480" s="12"/>
      <c r="CK480" s="12"/>
      <c r="CN480" s="12"/>
      <c r="CO480" s="12"/>
      <c r="CT480"/>
      <c r="CV480" s="12"/>
      <c r="CW480" s="12"/>
      <c r="CZ480" s="12"/>
      <c r="DA480" s="12"/>
      <c r="DC480" s="12"/>
      <c r="DD480" s="12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X480" s="9"/>
      <c r="EY480" s="9"/>
      <c r="EZ480" s="9"/>
      <c r="FA480" s="15"/>
      <c r="FB480" s="14"/>
      <c r="FC480" s="10"/>
      <c r="FD480" s="10"/>
      <c r="FE480" s="10"/>
      <c r="FF480" s="10"/>
      <c r="FG480" s="10"/>
      <c r="FH480" s="10"/>
    </row>
    <row r="481" spans="2:164" x14ac:dyDescent="0.25">
      <c r="B481"/>
      <c r="C481"/>
      <c r="D481"/>
      <c r="E481"/>
      <c r="F481" s="16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 s="16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 s="12"/>
      <c r="AK481" s="12"/>
      <c r="AL481" s="17"/>
      <c r="AN481" s="17"/>
      <c r="AP481" s="17"/>
      <c r="AQ481" s="12"/>
      <c r="AR481" s="12"/>
      <c r="AT481" s="17"/>
      <c r="AU481" s="12"/>
      <c r="AV481" s="12"/>
      <c r="AW481" s="17"/>
      <c r="AX481" s="12"/>
      <c r="AY481" s="12"/>
      <c r="BA481" s="12"/>
      <c r="BB481" s="12"/>
      <c r="BD481" s="12"/>
      <c r="BE481" s="12"/>
      <c r="BG481" s="12"/>
      <c r="BH481" s="12"/>
      <c r="BJ481" s="12"/>
      <c r="BK481" s="12"/>
      <c r="BM481" s="12"/>
      <c r="BN481" s="12"/>
      <c r="BO481" s="17"/>
      <c r="BQ481" s="12"/>
      <c r="BR481" s="12"/>
      <c r="BU481" s="12"/>
      <c r="BV481" s="12"/>
      <c r="BW481" s="17"/>
      <c r="BX481" s="17"/>
      <c r="BY481" s="12"/>
      <c r="BZ481" s="12"/>
      <c r="CC481" s="12"/>
      <c r="CD481" s="12"/>
      <c r="CG481" s="12"/>
      <c r="CH481" s="12"/>
      <c r="CJ481" s="12"/>
      <c r="CK481" s="12"/>
      <c r="CL481" s="17"/>
      <c r="CM481" s="17"/>
      <c r="CN481" s="12"/>
      <c r="CO481" s="12"/>
      <c r="CT481"/>
      <c r="CV481" s="12"/>
      <c r="CW481" s="12"/>
      <c r="CZ481" s="12"/>
      <c r="DA481" s="12"/>
      <c r="DC481" s="12"/>
      <c r="DD481" s="12"/>
      <c r="DF481" s="17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X481" s="9"/>
      <c r="EY481" s="9"/>
      <c r="EZ481" s="9"/>
      <c r="FA481" s="15"/>
      <c r="FB481" s="14"/>
      <c r="FC481" s="10"/>
      <c r="FD481" s="10"/>
      <c r="FE481" s="10"/>
      <c r="FF481" s="10"/>
      <c r="FG481" s="10"/>
      <c r="FH481" s="10"/>
    </row>
    <row r="482" spans="2:164" x14ac:dyDescent="0.25">
      <c r="B482"/>
      <c r="C482"/>
      <c r="D482"/>
      <c r="E482"/>
      <c r="F482" s="16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 s="16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 s="12"/>
      <c r="AK482" s="12"/>
      <c r="AL482" s="17"/>
      <c r="AN482" s="17"/>
      <c r="AP482" s="17"/>
      <c r="AQ482" s="12"/>
      <c r="AR482" s="12"/>
      <c r="AT482" s="17"/>
      <c r="AU482" s="12"/>
      <c r="AV482" s="12"/>
      <c r="AW482" s="17"/>
      <c r="AX482" s="12"/>
      <c r="AY482" s="12"/>
      <c r="BA482" s="12"/>
      <c r="BB482" s="12"/>
      <c r="BD482" s="12"/>
      <c r="BE482" s="12"/>
      <c r="BG482" s="12"/>
      <c r="BH482" s="12"/>
      <c r="BJ482" s="12"/>
      <c r="BK482" s="12"/>
      <c r="BM482" s="12"/>
      <c r="BN482" s="12"/>
      <c r="BO482" s="17"/>
      <c r="BQ482" s="12"/>
      <c r="BR482" s="12"/>
      <c r="BU482" s="12"/>
      <c r="BV482" s="12"/>
      <c r="BY482" s="12"/>
      <c r="BZ482" s="12"/>
      <c r="CA482" s="17"/>
      <c r="CB482" s="17"/>
      <c r="CC482" s="12"/>
      <c r="CD482" s="12"/>
      <c r="CG482" s="12"/>
      <c r="CH482" s="12"/>
      <c r="CJ482" s="12"/>
      <c r="CK482" s="12"/>
      <c r="CN482" s="12"/>
      <c r="CO482" s="12"/>
      <c r="CT482"/>
      <c r="CV482" s="12"/>
      <c r="CW482" s="12"/>
      <c r="CZ482" s="12"/>
      <c r="DA482" s="12"/>
      <c r="DC482" s="12"/>
      <c r="DD482" s="12"/>
      <c r="DF482" s="17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X482" s="9"/>
      <c r="EY482" s="9"/>
      <c r="EZ482" s="9"/>
      <c r="FA482" s="15"/>
      <c r="FB482" s="14"/>
      <c r="FC482" s="10"/>
      <c r="FD482" s="10"/>
      <c r="FE482" s="10"/>
      <c r="FF482" s="10"/>
      <c r="FG482" s="10"/>
      <c r="FH482" s="10"/>
    </row>
    <row r="483" spans="2:164" x14ac:dyDescent="0.25">
      <c r="B483"/>
      <c r="C483"/>
      <c r="D483"/>
      <c r="E483"/>
      <c r="F483" s="16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s="16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 s="12"/>
      <c r="AK483" s="12"/>
      <c r="AL483" s="17"/>
      <c r="AN483" s="17"/>
      <c r="AP483" s="17"/>
      <c r="AQ483" s="12"/>
      <c r="AR483" s="12"/>
      <c r="AT483" s="17"/>
      <c r="AU483" s="12"/>
      <c r="AV483" s="12"/>
      <c r="AW483" s="17"/>
      <c r="AX483" s="12"/>
      <c r="AY483" s="12"/>
      <c r="BA483" s="12"/>
      <c r="BB483" s="12"/>
      <c r="BD483" s="12"/>
      <c r="BE483" s="12"/>
      <c r="BG483" s="12"/>
      <c r="BH483" s="12"/>
      <c r="BJ483" s="12"/>
      <c r="BK483" s="12"/>
      <c r="BM483" s="12"/>
      <c r="BN483" s="12"/>
      <c r="BO483" s="17"/>
      <c r="BQ483" s="12"/>
      <c r="BR483" s="12"/>
      <c r="BU483" s="12"/>
      <c r="BV483" s="12"/>
      <c r="BY483" s="12"/>
      <c r="BZ483" s="12"/>
      <c r="CA483" s="17"/>
      <c r="CB483" s="17"/>
      <c r="CC483" s="12"/>
      <c r="CD483" s="12"/>
      <c r="CG483" s="12"/>
      <c r="CH483" s="12"/>
      <c r="CJ483" s="12"/>
      <c r="CK483" s="12"/>
      <c r="CN483" s="12"/>
      <c r="CO483" s="12"/>
      <c r="CT483"/>
      <c r="CV483" s="12"/>
      <c r="CW483" s="12"/>
      <c r="CZ483" s="12"/>
      <c r="DA483" s="12"/>
      <c r="DC483" s="12"/>
      <c r="DD483" s="12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X483" s="9"/>
      <c r="EY483" s="9"/>
      <c r="EZ483" s="9"/>
      <c r="FA483" s="15"/>
      <c r="FB483" s="14"/>
      <c r="FC483" s="10"/>
      <c r="FD483" s="10"/>
      <c r="FE483" s="10"/>
      <c r="FF483" s="10"/>
      <c r="FG483" s="10"/>
      <c r="FH483" s="10"/>
    </row>
    <row r="484" spans="2:164" x14ac:dyDescent="0.25">
      <c r="B484"/>
      <c r="C484"/>
      <c r="D484"/>
      <c r="E484"/>
      <c r="F484" s="16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 s="16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 s="12"/>
      <c r="AK484" s="12"/>
      <c r="AL484" s="17"/>
      <c r="AN484" s="17"/>
      <c r="AP484" s="17"/>
      <c r="AQ484" s="12"/>
      <c r="AR484" s="12"/>
      <c r="AT484" s="17"/>
      <c r="AU484" s="12"/>
      <c r="AV484" s="12"/>
      <c r="AW484" s="17"/>
      <c r="AX484" s="12"/>
      <c r="AY484" s="12"/>
      <c r="BA484" s="12"/>
      <c r="BB484" s="12"/>
      <c r="BD484" s="12"/>
      <c r="BE484" s="12"/>
      <c r="BG484" s="12"/>
      <c r="BH484" s="12"/>
      <c r="BJ484" s="12"/>
      <c r="BK484" s="12"/>
      <c r="BM484" s="12"/>
      <c r="BN484" s="12"/>
      <c r="BO484" s="17"/>
      <c r="BQ484" s="12"/>
      <c r="BR484" s="12"/>
      <c r="BS484" s="17"/>
      <c r="BT484" s="17"/>
      <c r="BU484" s="12"/>
      <c r="BV484" s="12"/>
      <c r="BY484" s="12"/>
      <c r="BZ484" s="12"/>
      <c r="CC484" s="12"/>
      <c r="CD484" s="12"/>
      <c r="CG484" s="12"/>
      <c r="CH484" s="12"/>
      <c r="CI484" s="17"/>
      <c r="CJ484" s="12"/>
      <c r="CK484" s="12"/>
      <c r="CN484" s="12"/>
      <c r="CO484" s="12"/>
      <c r="CT484"/>
      <c r="CV484" s="12"/>
      <c r="CW484" s="12"/>
      <c r="CZ484" s="12"/>
      <c r="DA484" s="12"/>
      <c r="DC484" s="12"/>
      <c r="DD484" s="12"/>
      <c r="DE484" s="17"/>
      <c r="DF484" s="17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X484" s="9"/>
      <c r="EY484" s="9"/>
      <c r="EZ484" s="9"/>
      <c r="FA484" s="15"/>
      <c r="FB484" s="14"/>
      <c r="FC484" s="10"/>
      <c r="FD484" s="10"/>
      <c r="FE484" s="10"/>
      <c r="FF484" s="10"/>
      <c r="FG484" s="10"/>
      <c r="FH484" s="10"/>
    </row>
    <row r="485" spans="2:164" x14ac:dyDescent="0.25">
      <c r="B485"/>
      <c r="C485"/>
      <c r="D485"/>
      <c r="E485"/>
      <c r="F485" s="16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 s="16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 s="12"/>
      <c r="AK485" s="12"/>
      <c r="AL485" s="17"/>
      <c r="AN485" s="17"/>
      <c r="AP485" s="17"/>
      <c r="AQ485" s="12"/>
      <c r="AR485" s="12"/>
      <c r="AT485" s="17"/>
      <c r="AU485" s="12"/>
      <c r="AV485" s="12"/>
      <c r="AW485" s="17"/>
      <c r="AX485" s="12"/>
      <c r="AY485" s="12"/>
      <c r="BA485" s="12"/>
      <c r="BB485" s="12"/>
      <c r="BD485" s="12"/>
      <c r="BE485" s="12"/>
      <c r="BG485" s="12"/>
      <c r="BH485" s="12"/>
      <c r="BJ485" s="12"/>
      <c r="BK485" s="12"/>
      <c r="BM485" s="12"/>
      <c r="BN485" s="12"/>
      <c r="BO485" s="17"/>
      <c r="BQ485" s="12"/>
      <c r="BR485" s="12"/>
      <c r="BU485" s="12"/>
      <c r="BV485" s="12"/>
      <c r="BW485" s="17"/>
      <c r="BX485" s="17"/>
      <c r="BY485" s="12"/>
      <c r="BZ485" s="12"/>
      <c r="CC485" s="12"/>
      <c r="CD485" s="12"/>
      <c r="CG485" s="12"/>
      <c r="CH485" s="12"/>
      <c r="CJ485" s="12"/>
      <c r="CK485" s="12"/>
      <c r="CL485" s="17"/>
      <c r="CM485" s="17"/>
      <c r="CN485" s="12"/>
      <c r="CO485" s="12"/>
      <c r="CT485"/>
      <c r="CV485" s="12"/>
      <c r="CW485" s="12"/>
      <c r="CZ485" s="12"/>
      <c r="DA485" s="12"/>
      <c r="DC485" s="12"/>
      <c r="DD485" s="12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X485" s="9"/>
      <c r="EY485" s="9"/>
      <c r="EZ485" s="9"/>
      <c r="FA485" s="15"/>
      <c r="FB485" s="14"/>
      <c r="FC485" s="10"/>
      <c r="FD485" s="10"/>
      <c r="FE485" s="10"/>
      <c r="FF485" s="10"/>
      <c r="FG485" s="10"/>
      <c r="FH485" s="10"/>
    </row>
    <row r="486" spans="2:164" x14ac:dyDescent="0.25">
      <c r="B486"/>
      <c r="C486"/>
      <c r="D486"/>
      <c r="E486"/>
      <c r="F486" s="1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s="1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 s="12"/>
      <c r="AK486" s="12"/>
      <c r="AL486" s="17"/>
      <c r="AN486" s="17"/>
      <c r="AP486" s="17"/>
      <c r="AQ486" s="12"/>
      <c r="AR486" s="12"/>
      <c r="AT486" s="17"/>
      <c r="AU486" s="12"/>
      <c r="AV486" s="12"/>
      <c r="AW486" s="17"/>
      <c r="AX486" s="12"/>
      <c r="AY486" s="12"/>
      <c r="BA486" s="12"/>
      <c r="BB486" s="12"/>
      <c r="BD486" s="12"/>
      <c r="BE486" s="12"/>
      <c r="BG486" s="12"/>
      <c r="BH486" s="12"/>
      <c r="BJ486" s="12"/>
      <c r="BK486" s="12"/>
      <c r="BM486" s="12"/>
      <c r="BN486" s="12"/>
      <c r="BO486" s="17"/>
      <c r="BQ486" s="12"/>
      <c r="BR486" s="12"/>
      <c r="BU486" s="12"/>
      <c r="BV486" s="12"/>
      <c r="BY486" s="12"/>
      <c r="BZ486" s="12"/>
      <c r="CA486" s="17"/>
      <c r="CB486" s="17"/>
      <c r="CC486" s="12"/>
      <c r="CD486" s="12"/>
      <c r="CG486" s="12"/>
      <c r="CH486" s="12"/>
      <c r="CJ486" s="12"/>
      <c r="CK486" s="12"/>
      <c r="CN486" s="12"/>
      <c r="CO486" s="12"/>
      <c r="CT486"/>
      <c r="CV486" s="12"/>
      <c r="CW486" s="12"/>
      <c r="CZ486" s="12"/>
      <c r="DA486" s="12"/>
      <c r="DC486" s="12"/>
      <c r="DD486" s="12"/>
      <c r="DF486" s="17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X486" s="9"/>
      <c r="EY486" s="9"/>
      <c r="EZ486" s="9"/>
      <c r="FA486" s="15"/>
      <c r="FB486" s="14"/>
      <c r="FC486" s="10"/>
      <c r="FD486" s="10"/>
      <c r="FE486" s="10"/>
      <c r="FF486" s="10"/>
      <c r="FG486" s="10"/>
      <c r="FH486" s="10"/>
    </row>
    <row r="487" spans="2:164" x14ac:dyDescent="0.25">
      <c r="B487"/>
      <c r="C487"/>
      <c r="D487"/>
      <c r="E487"/>
      <c r="F487" s="16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s="16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 s="12"/>
      <c r="AK487" s="12"/>
      <c r="AL487" s="17"/>
      <c r="AN487" s="17"/>
      <c r="AP487" s="17"/>
      <c r="AQ487" s="12"/>
      <c r="AR487" s="12"/>
      <c r="AT487" s="17"/>
      <c r="AU487" s="12"/>
      <c r="AV487" s="12"/>
      <c r="AW487" s="17"/>
      <c r="AX487" s="12"/>
      <c r="AY487" s="12"/>
      <c r="BA487" s="12"/>
      <c r="BB487" s="12"/>
      <c r="BD487" s="12"/>
      <c r="BE487" s="12"/>
      <c r="BG487" s="12"/>
      <c r="BH487" s="12"/>
      <c r="BJ487" s="12"/>
      <c r="BK487" s="12"/>
      <c r="BM487" s="12"/>
      <c r="BN487" s="12"/>
      <c r="BO487" s="17"/>
      <c r="BQ487" s="12"/>
      <c r="BR487" s="12"/>
      <c r="BS487" s="17"/>
      <c r="BT487" s="17"/>
      <c r="BU487" s="12"/>
      <c r="BV487" s="12"/>
      <c r="BY487" s="12"/>
      <c r="BZ487" s="12"/>
      <c r="CC487" s="12"/>
      <c r="CD487" s="12"/>
      <c r="CG487" s="12"/>
      <c r="CH487" s="12"/>
      <c r="CI487" s="17"/>
      <c r="CJ487" s="12"/>
      <c r="CK487" s="12"/>
      <c r="CN487" s="12"/>
      <c r="CO487" s="12"/>
      <c r="CT487"/>
      <c r="CV487" s="12"/>
      <c r="CW487" s="12"/>
      <c r="CZ487" s="12"/>
      <c r="DA487" s="12"/>
      <c r="DC487" s="12"/>
      <c r="DD487" s="12"/>
      <c r="DE487" s="17"/>
      <c r="DF487" s="1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X487" s="9"/>
      <c r="EY487" s="9"/>
      <c r="EZ487" s="9"/>
      <c r="FA487" s="15"/>
      <c r="FB487" s="14"/>
      <c r="FC487" s="10"/>
      <c r="FD487" s="10"/>
      <c r="FE487" s="10"/>
      <c r="FF487" s="10"/>
      <c r="FG487" s="10"/>
      <c r="FH487" s="10"/>
    </row>
    <row r="488" spans="2:164" x14ac:dyDescent="0.25">
      <c r="B488"/>
      <c r="C488"/>
      <c r="D488"/>
      <c r="E488"/>
      <c r="F488" s="16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s="16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 s="12"/>
      <c r="AK488" s="12"/>
      <c r="AL488" s="17"/>
      <c r="AN488" s="17"/>
      <c r="AP488" s="17"/>
      <c r="AQ488" s="12"/>
      <c r="AR488" s="12"/>
      <c r="AT488" s="17"/>
      <c r="AU488" s="12"/>
      <c r="AV488" s="12"/>
      <c r="AW488" s="17"/>
      <c r="AX488" s="12"/>
      <c r="AY488" s="12"/>
      <c r="BA488" s="12"/>
      <c r="BB488" s="12"/>
      <c r="BD488" s="12"/>
      <c r="BE488" s="12"/>
      <c r="BG488" s="12"/>
      <c r="BH488" s="12"/>
      <c r="BJ488" s="12"/>
      <c r="BK488" s="12"/>
      <c r="BM488" s="12"/>
      <c r="BN488" s="12"/>
      <c r="BO488" s="17"/>
      <c r="BQ488" s="12"/>
      <c r="BR488" s="12"/>
      <c r="BU488" s="12"/>
      <c r="BV488" s="12"/>
      <c r="BY488" s="12"/>
      <c r="BZ488" s="12"/>
      <c r="CA488" s="17"/>
      <c r="CB488" s="17"/>
      <c r="CC488" s="12"/>
      <c r="CD488" s="12"/>
      <c r="CG488" s="12"/>
      <c r="CH488" s="12"/>
      <c r="CJ488" s="12"/>
      <c r="CK488" s="12"/>
      <c r="CN488" s="12"/>
      <c r="CO488" s="12"/>
      <c r="CT488"/>
      <c r="CV488" s="12"/>
      <c r="CW488" s="12"/>
      <c r="CZ488" s="12"/>
      <c r="DA488" s="12"/>
      <c r="DC488" s="12"/>
      <c r="DD488" s="12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X488" s="9"/>
      <c r="EY488" s="9"/>
      <c r="EZ488" s="9"/>
      <c r="FA488" s="15"/>
      <c r="FB488" s="14"/>
      <c r="FC488" s="10"/>
      <c r="FD488" s="10"/>
      <c r="FE488" s="10"/>
      <c r="FF488" s="10"/>
      <c r="FG488" s="10"/>
      <c r="FH488" s="10"/>
    </row>
    <row r="489" spans="2:164" x14ac:dyDescent="0.25">
      <c r="B489"/>
      <c r="C489"/>
      <c r="D489"/>
      <c r="E489"/>
      <c r="F489" s="16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 s="16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 s="12"/>
      <c r="AK489" s="12"/>
      <c r="AL489" s="17"/>
      <c r="AN489" s="17"/>
      <c r="AP489" s="17"/>
      <c r="AQ489" s="12"/>
      <c r="AR489" s="12"/>
      <c r="AT489" s="17"/>
      <c r="AU489" s="12"/>
      <c r="AV489" s="12"/>
      <c r="AW489" s="17"/>
      <c r="AX489" s="12"/>
      <c r="AY489" s="12"/>
      <c r="BA489" s="12"/>
      <c r="BB489" s="12"/>
      <c r="BD489" s="12"/>
      <c r="BE489" s="12"/>
      <c r="BG489" s="12"/>
      <c r="BH489" s="12"/>
      <c r="BJ489" s="12"/>
      <c r="BK489" s="12"/>
      <c r="BM489" s="12"/>
      <c r="BN489" s="12"/>
      <c r="BO489" s="17"/>
      <c r="BQ489" s="12"/>
      <c r="BR489" s="12"/>
      <c r="BU489" s="12"/>
      <c r="BV489" s="12"/>
      <c r="BY489" s="12"/>
      <c r="BZ489" s="12"/>
      <c r="CC489" s="12"/>
      <c r="CD489" s="12"/>
      <c r="CG489" s="12"/>
      <c r="CH489" s="12"/>
      <c r="CJ489" s="12"/>
      <c r="CK489" s="12"/>
      <c r="CN489" s="12"/>
      <c r="CO489" s="12"/>
      <c r="CT489"/>
      <c r="CV489" s="12"/>
      <c r="CW489" s="12"/>
      <c r="CZ489" s="12"/>
      <c r="DA489" s="12"/>
      <c r="DB489" s="17"/>
      <c r="DC489" s="12"/>
      <c r="DD489" s="12"/>
      <c r="DF489" s="17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X489" s="9"/>
      <c r="EY489" s="9"/>
      <c r="EZ489" s="9"/>
      <c r="FA489" s="15"/>
      <c r="FB489" s="14"/>
      <c r="FC489" s="10"/>
      <c r="FD489" s="10"/>
      <c r="FE489" s="10"/>
      <c r="FF489" s="10"/>
      <c r="FG489" s="10"/>
      <c r="FH489" s="10"/>
    </row>
    <row r="490" spans="2:164" x14ac:dyDescent="0.25">
      <c r="B490"/>
      <c r="C490"/>
      <c r="D490"/>
      <c r="E490"/>
      <c r="F490" s="16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 s="16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 s="12"/>
      <c r="AK490" s="12"/>
      <c r="AL490" s="17"/>
      <c r="AN490" s="17"/>
      <c r="AP490" s="17"/>
      <c r="AQ490" s="12"/>
      <c r="AR490" s="12"/>
      <c r="AT490" s="17"/>
      <c r="AU490" s="12"/>
      <c r="AV490" s="12"/>
      <c r="AW490" s="17"/>
      <c r="AX490" s="12"/>
      <c r="AY490" s="12"/>
      <c r="BA490" s="12"/>
      <c r="BB490" s="12"/>
      <c r="BD490" s="12"/>
      <c r="BE490" s="12"/>
      <c r="BG490" s="12"/>
      <c r="BH490" s="12"/>
      <c r="BJ490" s="12"/>
      <c r="BK490" s="12"/>
      <c r="BM490" s="12"/>
      <c r="BN490" s="12"/>
      <c r="BO490" s="17"/>
      <c r="BQ490" s="12"/>
      <c r="BR490" s="12"/>
      <c r="BS490" s="17"/>
      <c r="BT490" s="17"/>
      <c r="BU490" s="12"/>
      <c r="BV490" s="12"/>
      <c r="BY490" s="12"/>
      <c r="BZ490" s="12"/>
      <c r="CC490" s="12"/>
      <c r="CD490" s="12"/>
      <c r="CG490" s="12"/>
      <c r="CH490" s="12"/>
      <c r="CI490" s="17"/>
      <c r="CJ490" s="12"/>
      <c r="CK490" s="12"/>
      <c r="CN490" s="12"/>
      <c r="CO490" s="12"/>
      <c r="CT490"/>
      <c r="CV490" s="12"/>
      <c r="CW490" s="12"/>
      <c r="CZ490" s="12"/>
      <c r="DA490" s="12"/>
      <c r="DB490" s="17"/>
      <c r="DC490" s="12"/>
      <c r="DD490" s="12"/>
      <c r="DE490" s="17"/>
      <c r="DF490" s="17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X490" s="9"/>
      <c r="EY490" s="9"/>
      <c r="EZ490" s="9"/>
      <c r="FA490" s="15"/>
      <c r="FB490" s="14"/>
      <c r="FC490" s="10"/>
      <c r="FD490" s="10"/>
      <c r="FE490" s="10"/>
      <c r="FF490" s="10"/>
      <c r="FG490" s="10"/>
      <c r="FH490" s="10"/>
    </row>
    <row r="491" spans="2:164" x14ac:dyDescent="0.25">
      <c r="B491"/>
      <c r="C491"/>
      <c r="D491"/>
      <c r="E491"/>
      <c r="F491" s="16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 s="16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 s="12"/>
      <c r="AK491" s="12"/>
      <c r="AL491" s="17"/>
      <c r="AN491" s="17"/>
      <c r="AP491" s="17"/>
      <c r="AQ491" s="12"/>
      <c r="AR491" s="12"/>
      <c r="AT491" s="17"/>
      <c r="AU491" s="12"/>
      <c r="AV491" s="12"/>
      <c r="AW491" s="17"/>
      <c r="AX491" s="12"/>
      <c r="AY491" s="12"/>
      <c r="BA491" s="12"/>
      <c r="BB491" s="12"/>
      <c r="BD491" s="12"/>
      <c r="BE491" s="12"/>
      <c r="BG491" s="12"/>
      <c r="BH491" s="12"/>
      <c r="BJ491" s="12"/>
      <c r="BK491" s="12"/>
      <c r="BM491" s="12"/>
      <c r="BN491" s="12"/>
      <c r="BO491" s="17"/>
      <c r="BQ491" s="12"/>
      <c r="BR491" s="12"/>
      <c r="BU491" s="12"/>
      <c r="BV491" s="12"/>
      <c r="BY491" s="12"/>
      <c r="BZ491" s="12"/>
      <c r="CC491" s="12"/>
      <c r="CD491" s="12"/>
      <c r="CG491" s="12"/>
      <c r="CH491" s="12"/>
      <c r="CJ491" s="12"/>
      <c r="CK491" s="12"/>
      <c r="CN491" s="12"/>
      <c r="CO491" s="12"/>
      <c r="CT491"/>
      <c r="CV491" s="12"/>
      <c r="CW491" s="12"/>
      <c r="CZ491" s="12"/>
      <c r="DA491" s="12"/>
      <c r="DC491" s="12"/>
      <c r="DD491" s="12"/>
      <c r="DF491" s="17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X491" s="9"/>
      <c r="EY491" s="9"/>
      <c r="EZ491" s="9"/>
      <c r="FA491" s="15"/>
      <c r="FB491" s="14"/>
      <c r="FC491" s="10"/>
      <c r="FD491" s="10"/>
      <c r="FE491" s="10"/>
      <c r="FF491" s="10"/>
      <c r="FG491" s="10"/>
      <c r="FH491" s="10"/>
    </row>
    <row r="492" spans="2:164" x14ac:dyDescent="0.25">
      <c r="B492"/>
      <c r="C492"/>
      <c r="D492"/>
      <c r="E492"/>
      <c r="F492" s="16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s="16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 s="12"/>
      <c r="AK492" s="12"/>
      <c r="AL492" s="17"/>
      <c r="AN492" s="17"/>
      <c r="AP492" s="17"/>
      <c r="AQ492" s="12"/>
      <c r="AR492" s="12"/>
      <c r="AT492" s="17"/>
      <c r="AU492" s="12"/>
      <c r="AV492" s="12"/>
      <c r="AW492" s="17"/>
      <c r="AX492" s="12"/>
      <c r="AY492" s="12"/>
      <c r="BA492" s="12"/>
      <c r="BB492" s="12"/>
      <c r="BD492" s="12"/>
      <c r="BE492" s="12"/>
      <c r="BG492" s="12"/>
      <c r="BH492" s="12"/>
      <c r="BJ492" s="12"/>
      <c r="BK492" s="12"/>
      <c r="BM492" s="12"/>
      <c r="BN492" s="12"/>
      <c r="BO492" s="17"/>
      <c r="BQ492" s="12"/>
      <c r="BR492" s="12"/>
      <c r="BU492" s="12"/>
      <c r="BV492" s="12"/>
      <c r="BW492" s="17"/>
      <c r="BX492" s="17"/>
      <c r="BY492" s="12"/>
      <c r="BZ492" s="12"/>
      <c r="CC492" s="12"/>
      <c r="CD492" s="12"/>
      <c r="CG492" s="12"/>
      <c r="CH492" s="12"/>
      <c r="CI492" s="17"/>
      <c r="CJ492" s="12"/>
      <c r="CK492" s="12"/>
      <c r="CN492" s="12"/>
      <c r="CO492" s="12"/>
      <c r="CT492"/>
      <c r="CV492" s="12"/>
      <c r="CW492" s="12"/>
      <c r="CZ492" s="12"/>
      <c r="DA492" s="12"/>
      <c r="DB492" s="17"/>
      <c r="DC492" s="12"/>
      <c r="DD492" s="1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X492" s="9"/>
      <c r="EY492" s="9"/>
      <c r="EZ492" s="9"/>
      <c r="FA492" s="15"/>
      <c r="FB492" s="14"/>
      <c r="FC492" s="10"/>
      <c r="FD492" s="10"/>
      <c r="FE492" s="10"/>
      <c r="FF492" s="10"/>
      <c r="FG492" s="10"/>
      <c r="FH492" s="10"/>
    </row>
    <row r="493" spans="2:164" x14ac:dyDescent="0.25">
      <c r="B493"/>
      <c r="C493"/>
      <c r="D493"/>
      <c r="E493"/>
      <c r="F493" s="16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s="16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 s="12"/>
      <c r="AK493" s="12"/>
      <c r="AL493" s="17"/>
      <c r="AN493" s="17"/>
      <c r="AP493" s="17"/>
      <c r="AQ493" s="12"/>
      <c r="AR493" s="12"/>
      <c r="AT493" s="17"/>
      <c r="AU493" s="12"/>
      <c r="AV493" s="12"/>
      <c r="AW493" s="17"/>
      <c r="AX493" s="12"/>
      <c r="AY493" s="12"/>
      <c r="BA493" s="12"/>
      <c r="BB493" s="12"/>
      <c r="BD493" s="12"/>
      <c r="BE493" s="12"/>
      <c r="BG493" s="12"/>
      <c r="BH493" s="12"/>
      <c r="BJ493" s="12"/>
      <c r="BK493" s="12"/>
      <c r="BM493" s="12"/>
      <c r="BN493" s="12"/>
      <c r="BO493" s="17"/>
      <c r="BQ493" s="12"/>
      <c r="BR493" s="12"/>
      <c r="BU493" s="12"/>
      <c r="BV493" s="12"/>
      <c r="BW493" s="17"/>
      <c r="BX493" s="17"/>
      <c r="BY493" s="12"/>
      <c r="BZ493" s="12"/>
      <c r="CC493" s="12"/>
      <c r="CD493" s="12"/>
      <c r="CG493" s="12"/>
      <c r="CH493" s="12"/>
      <c r="CJ493" s="12"/>
      <c r="CK493" s="12"/>
      <c r="CL493" s="17"/>
      <c r="CM493" s="17"/>
      <c r="CN493" s="12"/>
      <c r="CO493" s="12"/>
      <c r="CT493"/>
      <c r="CV493" s="12"/>
      <c r="CW493" s="12"/>
      <c r="CZ493" s="12"/>
      <c r="DA493" s="12"/>
      <c r="DC493" s="12"/>
      <c r="DD493" s="12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X493" s="9"/>
      <c r="EY493" s="9"/>
      <c r="EZ493" s="9"/>
      <c r="FA493" s="15"/>
      <c r="FB493" s="14"/>
      <c r="FC493" s="10"/>
      <c r="FD493" s="10"/>
      <c r="FE493" s="10"/>
      <c r="FF493" s="10"/>
      <c r="FG493" s="10"/>
      <c r="FH493" s="10"/>
    </row>
    <row r="494" spans="2:164" x14ac:dyDescent="0.25">
      <c r="B494"/>
      <c r="C494"/>
      <c r="D494"/>
      <c r="E494"/>
      <c r="F494" s="16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 s="16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 s="12"/>
      <c r="AK494" s="12"/>
      <c r="AL494" s="17"/>
      <c r="AN494" s="17"/>
      <c r="AP494" s="17"/>
      <c r="AQ494" s="12"/>
      <c r="AR494" s="12"/>
      <c r="AT494" s="17"/>
      <c r="AU494" s="12"/>
      <c r="AV494" s="12"/>
      <c r="AW494" s="17"/>
      <c r="AX494" s="12"/>
      <c r="AY494" s="12"/>
      <c r="BA494" s="12"/>
      <c r="BB494" s="12"/>
      <c r="BD494" s="12"/>
      <c r="BE494" s="12"/>
      <c r="BG494" s="12"/>
      <c r="BH494" s="12"/>
      <c r="BJ494" s="12"/>
      <c r="BK494" s="12"/>
      <c r="BM494" s="12"/>
      <c r="BN494" s="12"/>
      <c r="BO494" s="17"/>
      <c r="BQ494" s="12"/>
      <c r="BR494" s="12"/>
      <c r="BS494" s="17"/>
      <c r="BT494" s="17"/>
      <c r="BU494" s="12"/>
      <c r="BV494" s="12"/>
      <c r="BY494" s="12"/>
      <c r="BZ494" s="12"/>
      <c r="CC494" s="12"/>
      <c r="CD494" s="12"/>
      <c r="CG494" s="12"/>
      <c r="CH494" s="12"/>
      <c r="CJ494" s="12"/>
      <c r="CK494" s="12"/>
      <c r="CL494" s="17"/>
      <c r="CM494" s="17"/>
      <c r="CN494" s="12"/>
      <c r="CO494" s="12"/>
      <c r="CT494"/>
      <c r="CV494" s="12"/>
      <c r="CW494" s="12"/>
      <c r="CZ494" s="12"/>
      <c r="DA494" s="12"/>
      <c r="DC494" s="12"/>
      <c r="DD494" s="12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X494" s="9"/>
      <c r="EY494" s="9"/>
      <c r="EZ494" s="9"/>
      <c r="FA494" s="15"/>
      <c r="FB494" s="14"/>
      <c r="FC494" s="10"/>
      <c r="FD494" s="10"/>
      <c r="FE494" s="10"/>
      <c r="FF494" s="10"/>
      <c r="FG494" s="10"/>
      <c r="FH494" s="10"/>
    </row>
    <row r="495" spans="2:164" x14ac:dyDescent="0.25">
      <c r="B495"/>
      <c r="C495"/>
      <c r="D495"/>
      <c r="E495"/>
      <c r="F495" s="16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 s="16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 s="12"/>
      <c r="AK495" s="12"/>
      <c r="AL495" s="17"/>
      <c r="AN495" s="17"/>
      <c r="AP495" s="17"/>
      <c r="AQ495" s="12"/>
      <c r="AR495" s="12"/>
      <c r="AT495" s="17"/>
      <c r="AU495" s="12"/>
      <c r="AV495" s="12"/>
      <c r="AW495" s="17"/>
      <c r="AX495" s="12"/>
      <c r="AY495" s="12"/>
      <c r="BA495" s="12"/>
      <c r="BB495" s="12"/>
      <c r="BD495" s="12"/>
      <c r="BE495" s="12"/>
      <c r="BG495" s="12"/>
      <c r="BH495" s="12"/>
      <c r="BJ495" s="12"/>
      <c r="BK495" s="12"/>
      <c r="BM495" s="12"/>
      <c r="BN495" s="12"/>
      <c r="BO495" s="17"/>
      <c r="BQ495" s="12"/>
      <c r="BR495" s="12"/>
      <c r="BU495" s="12"/>
      <c r="BV495" s="12"/>
      <c r="BY495" s="12"/>
      <c r="BZ495" s="12"/>
      <c r="CC495" s="12"/>
      <c r="CD495" s="12"/>
      <c r="CG495" s="12"/>
      <c r="CH495" s="12"/>
      <c r="CJ495" s="12"/>
      <c r="CK495" s="12"/>
      <c r="CN495" s="12"/>
      <c r="CO495" s="12"/>
      <c r="CT495"/>
      <c r="CV495" s="12"/>
      <c r="CW495" s="12"/>
      <c r="CZ495" s="12"/>
      <c r="DA495" s="12"/>
      <c r="DC495" s="12"/>
      <c r="DD495" s="12"/>
      <c r="DE495" s="17"/>
      <c r="DF495" s="17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X495" s="9"/>
      <c r="EY495" s="9"/>
      <c r="EZ495" s="9"/>
      <c r="FA495" s="15"/>
      <c r="FB495" s="14"/>
      <c r="FC495" s="10"/>
      <c r="FD495" s="10"/>
      <c r="FE495" s="10"/>
      <c r="FF495" s="10"/>
      <c r="FG495" s="10"/>
      <c r="FH495" s="10"/>
    </row>
    <row r="496" spans="2:164" x14ac:dyDescent="0.25">
      <c r="B496"/>
      <c r="C496"/>
      <c r="D496"/>
      <c r="E496"/>
      <c r="F496" s="1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 s="1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 s="12"/>
      <c r="AK496" s="12"/>
      <c r="AL496" s="17"/>
      <c r="AN496" s="17"/>
      <c r="AP496" s="17"/>
      <c r="AQ496" s="12"/>
      <c r="AR496" s="12"/>
      <c r="AT496" s="17"/>
      <c r="AU496" s="12"/>
      <c r="AV496" s="12"/>
      <c r="AW496" s="17"/>
      <c r="AX496" s="12"/>
      <c r="AY496" s="12"/>
      <c r="BA496" s="12"/>
      <c r="BB496" s="12"/>
      <c r="BD496" s="12"/>
      <c r="BE496" s="12"/>
      <c r="BG496" s="12"/>
      <c r="BH496" s="12"/>
      <c r="BJ496" s="12"/>
      <c r="BK496" s="12"/>
      <c r="BM496" s="12"/>
      <c r="BN496" s="12"/>
      <c r="BO496" s="17"/>
      <c r="BQ496" s="12"/>
      <c r="BR496" s="12"/>
      <c r="BU496" s="12"/>
      <c r="BV496" s="12"/>
      <c r="BW496" s="17"/>
      <c r="BX496" s="17"/>
      <c r="BY496" s="12"/>
      <c r="BZ496" s="12"/>
      <c r="CC496" s="12"/>
      <c r="CD496" s="12"/>
      <c r="CG496" s="12"/>
      <c r="CH496" s="12"/>
      <c r="CI496" s="17"/>
      <c r="CJ496" s="12"/>
      <c r="CK496" s="12"/>
      <c r="CN496" s="12"/>
      <c r="CO496" s="12"/>
      <c r="CT496"/>
      <c r="CV496" s="12"/>
      <c r="CW496" s="12"/>
      <c r="CZ496" s="12"/>
      <c r="DA496" s="12"/>
      <c r="DB496" s="17"/>
      <c r="DC496" s="12"/>
      <c r="DD496" s="12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X496" s="9"/>
      <c r="EY496" s="9"/>
      <c r="EZ496" s="9"/>
      <c r="FA496" s="15"/>
      <c r="FB496" s="14"/>
      <c r="FC496" s="10"/>
      <c r="FD496" s="10"/>
      <c r="FE496" s="10"/>
      <c r="FF496" s="10"/>
      <c r="FG496" s="10"/>
      <c r="FH496" s="10"/>
    </row>
    <row r="497" spans="2:164" x14ac:dyDescent="0.25">
      <c r="B497"/>
      <c r="C497"/>
      <c r="D497"/>
      <c r="E497"/>
      <c r="F497" s="16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 s="16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 s="12"/>
      <c r="AK497" s="12"/>
      <c r="AL497" s="17"/>
      <c r="AN497" s="17"/>
      <c r="AP497" s="17"/>
      <c r="AQ497" s="12"/>
      <c r="AR497" s="12"/>
      <c r="AT497" s="17"/>
      <c r="AU497" s="12"/>
      <c r="AV497" s="12"/>
      <c r="AW497" s="17"/>
      <c r="AX497" s="12"/>
      <c r="AY497" s="12"/>
      <c r="BA497" s="12"/>
      <c r="BB497" s="12"/>
      <c r="BD497" s="12"/>
      <c r="BE497" s="12"/>
      <c r="BG497" s="12"/>
      <c r="BH497" s="12"/>
      <c r="BJ497" s="12"/>
      <c r="BK497" s="12"/>
      <c r="BM497" s="12"/>
      <c r="BN497" s="12"/>
      <c r="BO497" s="17"/>
      <c r="BQ497" s="12"/>
      <c r="BR497" s="12"/>
      <c r="BS497" s="17"/>
      <c r="BT497" s="17"/>
      <c r="BU497" s="12"/>
      <c r="BV497" s="12"/>
      <c r="BY497" s="12"/>
      <c r="BZ497" s="12"/>
      <c r="CC497" s="12"/>
      <c r="CD497" s="12"/>
      <c r="CG497" s="12"/>
      <c r="CH497" s="12"/>
      <c r="CI497" s="17"/>
      <c r="CJ497" s="12"/>
      <c r="CK497" s="12"/>
      <c r="CN497" s="12"/>
      <c r="CO497" s="12"/>
      <c r="CT497"/>
      <c r="CV497" s="12"/>
      <c r="CW497" s="12"/>
      <c r="CZ497" s="12"/>
      <c r="DA497" s="12"/>
      <c r="DC497" s="12"/>
      <c r="DD497" s="12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X497" s="9"/>
      <c r="EY497" s="9"/>
      <c r="EZ497" s="9"/>
      <c r="FA497" s="15"/>
      <c r="FB497" s="14"/>
      <c r="FC497" s="10"/>
      <c r="FD497" s="10"/>
      <c r="FE497" s="10"/>
      <c r="FF497" s="10"/>
      <c r="FG497" s="10"/>
      <c r="FH497" s="10"/>
    </row>
    <row r="498" spans="2:164" x14ac:dyDescent="0.25">
      <c r="B498"/>
      <c r="C498"/>
      <c r="D498"/>
      <c r="E498"/>
      <c r="F498" s="16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 s="16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 s="12"/>
      <c r="AK498" s="12"/>
      <c r="AL498" s="17"/>
      <c r="AN498" s="17"/>
      <c r="AP498" s="17"/>
      <c r="AQ498" s="12"/>
      <c r="AR498" s="12"/>
      <c r="AT498" s="17"/>
      <c r="AU498" s="12"/>
      <c r="AV498" s="12"/>
      <c r="AW498" s="17"/>
      <c r="AX498" s="12"/>
      <c r="AY498" s="12"/>
      <c r="BA498" s="12"/>
      <c r="BB498" s="12"/>
      <c r="BD498" s="12"/>
      <c r="BE498" s="12"/>
      <c r="BG498" s="12"/>
      <c r="BH498" s="12"/>
      <c r="BJ498" s="12"/>
      <c r="BK498" s="12"/>
      <c r="BM498" s="12"/>
      <c r="BN498" s="12"/>
      <c r="BO498" s="17"/>
      <c r="BQ498" s="12"/>
      <c r="BR498" s="12"/>
      <c r="BS498" s="17"/>
      <c r="BT498" s="17"/>
      <c r="BU498" s="12"/>
      <c r="BV498" s="12"/>
      <c r="BY498" s="12"/>
      <c r="BZ498" s="12"/>
      <c r="CC498" s="12"/>
      <c r="CD498" s="12"/>
      <c r="CG498" s="12"/>
      <c r="CH498" s="12"/>
      <c r="CI498" s="17"/>
      <c r="CJ498" s="12"/>
      <c r="CK498" s="12"/>
      <c r="CN498" s="12"/>
      <c r="CO498" s="12"/>
      <c r="CT498"/>
      <c r="CV498" s="12"/>
      <c r="CW498" s="12"/>
      <c r="CZ498" s="12"/>
      <c r="DA498" s="12"/>
      <c r="DC498" s="12"/>
      <c r="DD498" s="12"/>
      <c r="DE498" s="17"/>
      <c r="DF498" s="17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X498" s="9"/>
      <c r="EY498" s="9"/>
      <c r="EZ498" s="9"/>
      <c r="FA498" s="15"/>
      <c r="FB498" s="14"/>
      <c r="FC498" s="10"/>
      <c r="FD498" s="10"/>
      <c r="FE498" s="10"/>
      <c r="FF498" s="10"/>
      <c r="FG498" s="10"/>
      <c r="FH498" s="10"/>
    </row>
    <row r="499" spans="2:164" x14ac:dyDescent="0.25">
      <c r="B499"/>
      <c r="C499"/>
      <c r="D499"/>
      <c r="E499"/>
      <c r="F499" s="16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 s="16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 s="12"/>
      <c r="AK499" s="12"/>
      <c r="AL499" s="17"/>
      <c r="AN499" s="17"/>
      <c r="AP499" s="17"/>
      <c r="AQ499" s="12"/>
      <c r="AR499" s="12"/>
      <c r="AT499" s="17"/>
      <c r="AU499" s="12"/>
      <c r="AV499" s="12"/>
      <c r="AW499" s="17"/>
      <c r="AX499" s="12"/>
      <c r="AY499" s="12"/>
      <c r="BA499" s="12"/>
      <c r="BB499" s="12"/>
      <c r="BD499" s="12"/>
      <c r="BE499" s="12"/>
      <c r="BG499" s="12"/>
      <c r="BH499" s="12"/>
      <c r="BJ499" s="12"/>
      <c r="BK499" s="12"/>
      <c r="BM499" s="12"/>
      <c r="BN499" s="12"/>
      <c r="BO499" s="17"/>
      <c r="BQ499" s="12"/>
      <c r="BR499" s="12"/>
      <c r="BS499" s="17"/>
      <c r="BT499" s="17"/>
      <c r="BU499" s="12"/>
      <c r="BV499" s="12"/>
      <c r="BY499" s="12"/>
      <c r="BZ499" s="12"/>
      <c r="CC499" s="12"/>
      <c r="CD499" s="12"/>
      <c r="CG499" s="12"/>
      <c r="CH499" s="12"/>
      <c r="CI499" s="17"/>
      <c r="CJ499" s="12"/>
      <c r="CK499" s="12"/>
      <c r="CN499" s="12"/>
      <c r="CO499" s="12"/>
      <c r="CT499"/>
      <c r="CV499" s="12"/>
      <c r="CW499" s="12"/>
      <c r="CZ499" s="12"/>
      <c r="DA499" s="12"/>
      <c r="DC499" s="12"/>
      <c r="DD499" s="12"/>
      <c r="DE499" s="17"/>
      <c r="DF499" s="17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X499" s="9"/>
      <c r="EY499" s="9"/>
      <c r="EZ499" s="9"/>
      <c r="FA499" s="15"/>
      <c r="FB499" s="14"/>
      <c r="FC499" s="10"/>
      <c r="FD499" s="10"/>
      <c r="FE499" s="10"/>
      <c r="FF499" s="10"/>
      <c r="FG499" s="10"/>
      <c r="FH499" s="10"/>
    </row>
    <row r="500" spans="2:164" x14ac:dyDescent="0.25">
      <c r="B500"/>
      <c r="C500"/>
      <c r="D500"/>
      <c r="E500"/>
      <c r="F500" s="16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 s="16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 s="12"/>
      <c r="AK500" s="12"/>
      <c r="AL500" s="17"/>
      <c r="AN500" s="17"/>
      <c r="AP500" s="17"/>
      <c r="AQ500" s="12"/>
      <c r="AR500" s="12"/>
      <c r="AT500" s="17"/>
      <c r="AU500" s="12"/>
      <c r="AV500" s="12"/>
      <c r="AW500" s="17"/>
      <c r="AX500" s="12"/>
      <c r="AY500" s="12"/>
      <c r="BA500" s="12"/>
      <c r="BB500" s="12"/>
      <c r="BD500" s="12"/>
      <c r="BE500" s="12"/>
      <c r="BG500" s="12"/>
      <c r="BH500" s="12"/>
      <c r="BJ500" s="12"/>
      <c r="BK500" s="12"/>
      <c r="BM500" s="12"/>
      <c r="BN500" s="12"/>
      <c r="BO500" s="17"/>
      <c r="BQ500" s="12"/>
      <c r="BR500" s="12"/>
      <c r="BS500" s="17"/>
      <c r="BT500" s="17"/>
      <c r="BU500" s="12"/>
      <c r="BV500" s="12"/>
      <c r="BY500" s="12"/>
      <c r="BZ500" s="12"/>
      <c r="CC500" s="12"/>
      <c r="CD500" s="12"/>
      <c r="CG500" s="12"/>
      <c r="CH500" s="12"/>
      <c r="CI500" s="17"/>
      <c r="CJ500" s="12"/>
      <c r="CK500" s="12"/>
      <c r="CN500" s="12"/>
      <c r="CO500" s="12"/>
      <c r="CT500"/>
      <c r="CV500" s="12"/>
      <c r="CW500" s="12"/>
      <c r="CZ500" s="12"/>
      <c r="DA500" s="12"/>
      <c r="DC500" s="12"/>
      <c r="DD500" s="12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X500" s="9"/>
      <c r="EY500" s="9"/>
      <c r="EZ500" s="9"/>
      <c r="FA500" s="15"/>
      <c r="FB500" s="14"/>
      <c r="FC500" s="10"/>
      <c r="FD500" s="10"/>
      <c r="FE500" s="10"/>
      <c r="FF500" s="10"/>
      <c r="FG500" s="10"/>
      <c r="FH500" s="10"/>
    </row>
    <row r="501" spans="2:164" x14ac:dyDescent="0.25">
      <c r="B501"/>
      <c r="C501"/>
      <c r="D501"/>
      <c r="E501"/>
      <c r="F501" s="16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s="16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 s="12"/>
      <c r="AK501" s="12"/>
      <c r="AL501" s="17"/>
      <c r="AN501" s="17"/>
      <c r="AP501" s="17"/>
      <c r="AQ501" s="12"/>
      <c r="AR501" s="12"/>
      <c r="AT501" s="17"/>
      <c r="AU501" s="12"/>
      <c r="AV501" s="12"/>
      <c r="AW501" s="17"/>
      <c r="AX501" s="12"/>
      <c r="AY501" s="12"/>
      <c r="BA501" s="12"/>
      <c r="BB501" s="12"/>
      <c r="BD501" s="12"/>
      <c r="BE501" s="12"/>
      <c r="BG501" s="12"/>
      <c r="BH501" s="12"/>
      <c r="BJ501" s="12"/>
      <c r="BK501" s="12"/>
      <c r="BM501" s="12"/>
      <c r="BN501" s="12"/>
      <c r="BO501" s="17"/>
      <c r="BQ501" s="12"/>
      <c r="BR501" s="12"/>
      <c r="BU501" s="12"/>
      <c r="BV501" s="12"/>
      <c r="BW501" s="17"/>
      <c r="BX501" s="17"/>
      <c r="BY501" s="12"/>
      <c r="BZ501" s="12"/>
      <c r="CC501" s="12"/>
      <c r="CD501" s="12"/>
      <c r="CG501" s="12"/>
      <c r="CH501" s="12"/>
      <c r="CI501" s="17"/>
      <c r="CJ501" s="12"/>
      <c r="CK501" s="12"/>
      <c r="CN501" s="12"/>
      <c r="CO501" s="12"/>
      <c r="CT501"/>
      <c r="CV501" s="12"/>
      <c r="CW501" s="12"/>
      <c r="CZ501" s="12"/>
      <c r="DA501" s="12"/>
      <c r="DC501" s="12"/>
      <c r="DD501" s="12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X501" s="9"/>
      <c r="EY501" s="9"/>
      <c r="EZ501" s="9"/>
      <c r="FA501" s="15"/>
      <c r="FB501" s="14"/>
      <c r="FC501" s="10"/>
      <c r="FD501" s="10"/>
      <c r="FE501" s="10"/>
      <c r="FF501" s="10"/>
      <c r="FG501" s="10"/>
      <c r="FH501" s="10"/>
    </row>
    <row r="502" spans="2:164" x14ac:dyDescent="0.25">
      <c r="B502"/>
      <c r="C502"/>
      <c r="D502"/>
      <c r="E502"/>
      <c r="F502" s="16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 s="16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 s="12"/>
      <c r="AK502" s="12"/>
      <c r="AL502" s="17"/>
      <c r="AN502" s="17"/>
      <c r="AP502" s="17"/>
      <c r="AQ502" s="12"/>
      <c r="AR502" s="12"/>
      <c r="AT502" s="17"/>
      <c r="AU502" s="12"/>
      <c r="AV502" s="12"/>
      <c r="AW502" s="17"/>
      <c r="AX502" s="12"/>
      <c r="AY502" s="12"/>
      <c r="BA502" s="12"/>
      <c r="BB502" s="12"/>
      <c r="BD502" s="12"/>
      <c r="BE502" s="12"/>
      <c r="BG502" s="12"/>
      <c r="BH502" s="12"/>
      <c r="BJ502" s="12"/>
      <c r="BK502" s="12"/>
      <c r="BM502" s="12"/>
      <c r="BN502" s="12"/>
      <c r="BO502" s="17"/>
      <c r="BQ502" s="12"/>
      <c r="BR502" s="12"/>
      <c r="BU502" s="12"/>
      <c r="BV502" s="12"/>
      <c r="BY502" s="12"/>
      <c r="BZ502" s="12"/>
      <c r="CA502" s="17"/>
      <c r="CB502" s="17"/>
      <c r="CC502" s="12"/>
      <c r="CD502" s="12"/>
      <c r="CG502" s="12"/>
      <c r="CH502" s="12"/>
      <c r="CJ502" s="12"/>
      <c r="CK502" s="12"/>
      <c r="CN502" s="12"/>
      <c r="CO502" s="12"/>
      <c r="CT502"/>
      <c r="CV502" s="12"/>
      <c r="CW502" s="12"/>
      <c r="CZ502" s="12"/>
      <c r="DA502" s="12"/>
      <c r="DC502" s="12"/>
      <c r="DD502" s="1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X502" s="9"/>
      <c r="EY502" s="9"/>
      <c r="EZ502" s="9"/>
      <c r="FA502" s="15"/>
      <c r="FB502" s="14"/>
      <c r="FC502" s="10"/>
      <c r="FD502" s="10"/>
      <c r="FE502" s="10"/>
      <c r="FF502" s="10"/>
      <c r="FG502" s="10"/>
      <c r="FH502" s="10"/>
    </row>
    <row r="503" spans="2:164" x14ac:dyDescent="0.25">
      <c r="B503"/>
      <c r="C503"/>
      <c r="D503"/>
      <c r="E503"/>
      <c r="F503" s="16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 s="16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 s="12"/>
      <c r="AK503" s="12"/>
      <c r="AL503" s="17"/>
      <c r="AN503" s="17"/>
      <c r="AP503" s="17"/>
      <c r="AQ503" s="12"/>
      <c r="AR503" s="12"/>
      <c r="AT503" s="17"/>
      <c r="AU503" s="12"/>
      <c r="AV503" s="12"/>
      <c r="AW503" s="17"/>
      <c r="AX503" s="12"/>
      <c r="AY503" s="12"/>
      <c r="BA503" s="12"/>
      <c r="BB503" s="12"/>
      <c r="BD503" s="12"/>
      <c r="BE503" s="12"/>
      <c r="BG503" s="12"/>
      <c r="BH503" s="12"/>
      <c r="BJ503" s="12"/>
      <c r="BK503" s="12"/>
      <c r="BM503" s="12"/>
      <c r="BN503" s="12"/>
      <c r="BO503" s="17"/>
      <c r="BQ503" s="12"/>
      <c r="BR503" s="12"/>
      <c r="BU503" s="12"/>
      <c r="BV503" s="12"/>
      <c r="BY503" s="12"/>
      <c r="BZ503" s="12"/>
      <c r="CA503" s="17"/>
      <c r="CB503" s="17"/>
      <c r="CC503" s="12"/>
      <c r="CD503" s="12"/>
      <c r="CG503" s="12"/>
      <c r="CH503" s="12"/>
      <c r="CJ503" s="12"/>
      <c r="CK503" s="12"/>
      <c r="CN503" s="12"/>
      <c r="CO503" s="12"/>
      <c r="CT503"/>
      <c r="CV503" s="12"/>
      <c r="CW503" s="12"/>
      <c r="CZ503" s="12"/>
      <c r="DA503" s="12"/>
      <c r="DC503" s="12"/>
      <c r="DD503" s="12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X503" s="9"/>
      <c r="EY503" s="9"/>
      <c r="EZ503" s="9"/>
      <c r="FA503" s="15"/>
      <c r="FB503" s="14"/>
      <c r="FC503" s="10"/>
      <c r="FD503" s="10"/>
      <c r="FE503" s="10"/>
      <c r="FF503" s="10"/>
      <c r="FG503" s="10"/>
      <c r="FH503" s="10"/>
    </row>
    <row r="504" spans="2:164" x14ac:dyDescent="0.25">
      <c r="B504"/>
      <c r="C504"/>
      <c r="D504"/>
      <c r="E504"/>
      <c r="F504" s="16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 s="16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 s="12"/>
      <c r="AK504" s="12"/>
      <c r="AL504" s="17"/>
      <c r="AN504" s="17"/>
      <c r="AP504" s="17"/>
      <c r="AQ504" s="12"/>
      <c r="AR504" s="12"/>
      <c r="AT504" s="17"/>
      <c r="AU504" s="12"/>
      <c r="AV504" s="12"/>
      <c r="AW504" s="17"/>
      <c r="AX504" s="12"/>
      <c r="AY504" s="12"/>
      <c r="BA504" s="12"/>
      <c r="BB504" s="12"/>
      <c r="BD504" s="12"/>
      <c r="BE504" s="12"/>
      <c r="BG504" s="12"/>
      <c r="BH504" s="12"/>
      <c r="BJ504" s="12"/>
      <c r="BK504" s="12"/>
      <c r="BM504" s="12"/>
      <c r="BN504" s="12"/>
      <c r="BO504" s="17"/>
      <c r="BQ504" s="12"/>
      <c r="BR504" s="12"/>
      <c r="BU504" s="12"/>
      <c r="BV504" s="12"/>
      <c r="BY504" s="12"/>
      <c r="BZ504" s="12"/>
      <c r="CC504" s="12"/>
      <c r="CD504" s="12"/>
      <c r="CG504" s="12"/>
      <c r="CH504" s="12"/>
      <c r="CJ504" s="12"/>
      <c r="CK504" s="12"/>
      <c r="CN504" s="12"/>
      <c r="CO504" s="12"/>
      <c r="CT504"/>
      <c r="CV504" s="12"/>
      <c r="CW504" s="12"/>
      <c r="CZ504" s="12"/>
      <c r="DA504" s="12"/>
      <c r="DC504" s="12"/>
      <c r="DD504" s="12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X504" s="9"/>
      <c r="EY504" s="9"/>
      <c r="EZ504" s="9"/>
      <c r="FA504" s="15"/>
      <c r="FB504" s="14"/>
      <c r="FC504" s="10"/>
      <c r="FD504" s="10"/>
      <c r="FE504" s="10"/>
      <c r="FF504" s="10"/>
      <c r="FG504" s="10"/>
      <c r="FH504" s="10"/>
    </row>
    <row r="505" spans="2:164" x14ac:dyDescent="0.25">
      <c r="B505"/>
      <c r="C505"/>
      <c r="D505"/>
      <c r="E505"/>
      <c r="F505" s="16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 s="16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 s="12"/>
      <c r="AK505" s="12"/>
      <c r="AL505" s="17"/>
      <c r="AN505" s="17"/>
      <c r="AP505" s="17"/>
      <c r="AQ505" s="12"/>
      <c r="AR505" s="12"/>
      <c r="AT505" s="17"/>
      <c r="AU505" s="12"/>
      <c r="AV505" s="12"/>
      <c r="AW505" s="17"/>
      <c r="AX505" s="12"/>
      <c r="AY505" s="12"/>
      <c r="BA505" s="12"/>
      <c r="BB505" s="12"/>
      <c r="BD505" s="12"/>
      <c r="BE505" s="12"/>
      <c r="BG505" s="12"/>
      <c r="BH505" s="12"/>
      <c r="BJ505" s="12"/>
      <c r="BK505" s="12"/>
      <c r="BM505" s="12"/>
      <c r="BN505" s="12"/>
      <c r="BQ505" s="12"/>
      <c r="BR505" s="12"/>
      <c r="BU505" s="12"/>
      <c r="BV505" s="12"/>
      <c r="BY505" s="12"/>
      <c r="BZ505" s="12"/>
      <c r="CC505" s="12"/>
      <c r="CD505" s="12"/>
      <c r="CG505" s="12"/>
      <c r="CH505" s="12"/>
      <c r="CJ505" s="12"/>
      <c r="CK505" s="12"/>
      <c r="CN505" s="12"/>
      <c r="CO505" s="12"/>
      <c r="CT505"/>
      <c r="CV505" s="12"/>
      <c r="CW505" s="12"/>
      <c r="CZ505" s="12"/>
      <c r="DA505" s="12"/>
      <c r="DC505" s="12"/>
      <c r="DD505" s="12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X505" s="9"/>
      <c r="EY505" s="9"/>
      <c r="EZ505" s="9"/>
      <c r="FA505" s="15"/>
      <c r="FB505" s="14"/>
      <c r="FC505" s="10"/>
      <c r="FD505" s="10"/>
      <c r="FE505" s="10"/>
      <c r="FF505" s="10"/>
      <c r="FG505" s="10"/>
      <c r="FH505" s="10"/>
    </row>
    <row r="506" spans="2:164" x14ac:dyDescent="0.25">
      <c r="B506"/>
      <c r="C506"/>
      <c r="D506"/>
      <c r="E506"/>
      <c r="F506" s="1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 s="1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 s="12"/>
      <c r="AK506" s="12"/>
      <c r="AL506" s="17"/>
      <c r="AN506" s="17"/>
      <c r="AP506" s="17"/>
      <c r="AQ506" s="12"/>
      <c r="AR506" s="12"/>
      <c r="AT506" s="17"/>
      <c r="AU506" s="12"/>
      <c r="AV506" s="12"/>
      <c r="AW506" s="17"/>
      <c r="AX506" s="12"/>
      <c r="AY506" s="12"/>
      <c r="BA506" s="12"/>
      <c r="BB506" s="12"/>
      <c r="BD506" s="12"/>
      <c r="BE506" s="12"/>
      <c r="BG506" s="12"/>
      <c r="BH506" s="12"/>
      <c r="BJ506" s="12"/>
      <c r="BK506" s="12"/>
      <c r="BM506" s="12"/>
      <c r="BN506" s="12"/>
      <c r="BO506" s="17"/>
      <c r="BQ506" s="12"/>
      <c r="BR506" s="12"/>
      <c r="BU506" s="12"/>
      <c r="BV506" s="12"/>
      <c r="BY506" s="12"/>
      <c r="BZ506" s="12"/>
      <c r="CA506" s="17"/>
      <c r="CB506" s="17"/>
      <c r="CC506" s="12"/>
      <c r="CD506" s="12"/>
      <c r="CG506" s="12"/>
      <c r="CH506" s="12"/>
      <c r="CJ506" s="12"/>
      <c r="CK506" s="12"/>
      <c r="CN506" s="12"/>
      <c r="CO506" s="12"/>
      <c r="CT506"/>
      <c r="CV506" s="12"/>
      <c r="CW506" s="12"/>
      <c r="CZ506" s="12"/>
      <c r="DA506" s="12"/>
      <c r="DC506" s="12"/>
      <c r="DD506" s="12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X506" s="9"/>
      <c r="EY506" s="9"/>
      <c r="EZ506" s="9"/>
      <c r="FA506" s="15"/>
      <c r="FB506" s="14"/>
      <c r="FC506" s="10"/>
      <c r="FD506" s="10"/>
      <c r="FE506" s="10"/>
      <c r="FF506" s="10"/>
      <c r="FG506" s="10"/>
      <c r="FH506" s="10"/>
    </row>
    <row r="507" spans="2:164" x14ac:dyDescent="0.25">
      <c r="B507"/>
      <c r="C507"/>
      <c r="D507"/>
      <c r="E507"/>
      <c r="F507" s="16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 s="16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 s="12"/>
      <c r="AK507" s="12"/>
      <c r="AL507" s="17"/>
      <c r="AN507" s="17"/>
      <c r="AP507" s="17"/>
      <c r="AQ507" s="12"/>
      <c r="AR507" s="12"/>
      <c r="AT507" s="17"/>
      <c r="AU507" s="12"/>
      <c r="AV507" s="12"/>
      <c r="AW507" s="17"/>
      <c r="AX507" s="12"/>
      <c r="AY507" s="12"/>
      <c r="BA507" s="12"/>
      <c r="BB507" s="12"/>
      <c r="BD507" s="12"/>
      <c r="BE507" s="12"/>
      <c r="BG507" s="12"/>
      <c r="BH507" s="12"/>
      <c r="BJ507" s="12"/>
      <c r="BK507" s="12"/>
      <c r="BM507" s="12"/>
      <c r="BN507" s="12"/>
      <c r="BQ507" s="12"/>
      <c r="BR507" s="12"/>
      <c r="BU507" s="12"/>
      <c r="BV507" s="12"/>
      <c r="BY507" s="12"/>
      <c r="BZ507" s="12"/>
      <c r="CC507" s="12"/>
      <c r="CD507" s="12"/>
      <c r="CG507" s="12"/>
      <c r="CH507" s="12"/>
      <c r="CJ507" s="12"/>
      <c r="CK507" s="12"/>
      <c r="CN507" s="12"/>
      <c r="CO507" s="12"/>
      <c r="CT507"/>
      <c r="CV507" s="12"/>
      <c r="CW507" s="12"/>
      <c r="CZ507" s="12"/>
      <c r="DA507" s="12"/>
      <c r="DC507" s="12"/>
      <c r="DD507" s="12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X507" s="9"/>
      <c r="EY507" s="9"/>
      <c r="EZ507" s="9"/>
      <c r="FA507" s="15"/>
      <c r="FB507" s="14"/>
      <c r="FC507" s="10"/>
      <c r="FD507" s="10"/>
      <c r="FE507" s="10"/>
      <c r="FF507" s="10"/>
      <c r="FG507" s="10"/>
      <c r="FH507" s="10"/>
    </row>
    <row r="508" spans="2:164" x14ac:dyDescent="0.25">
      <c r="B508"/>
      <c r="C508"/>
      <c r="D508"/>
      <c r="E508"/>
      <c r="F508" s="16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 s="16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 s="12"/>
      <c r="AK508" s="12"/>
      <c r="AL508" s="17"/>
      <c r="AN508" s="17"/>
      <c r="AP508" s="17"/>
      <c r="AQ508" s="12"/>
      <c r="AR508" s="12"/>
      <c r="AT508" s="17"/>
      <c r="AU508" s="12"/>
      <c r="AV508" s="12"/>
      <c r="AW508" s="17"/>
      <c r="AX508" s="12"/>
      <c r="AY508" s="12"/>
      <c r="BA508" s="12"/>
      <c r="BB508" s="12"/>
      <c r="BD508" s="12"/>
      <c r="BE508" s="12"/>
      <c r="BG508" s="12"/>
      <c r="BH508" s="12"/>
      <c r="BJ508" s="12"/>
      <c r="BK508" s="12"/>
      <c r="BM508" s="12"/>
      <c r="BN508" s="12"/>
      <c r="BO508" s="17"/>
      <c r="BQ508" s="12"/>
      <c r="BR508" s="12"/>
      <c r="BU508" s="12"/>
      <c r="BV508" s="12"/>
      <c r="BY508" s="12"/>
      <c r="BZ508" s="12"/>
      <c r="CA508" s="17"/>
      <c r="CB508" s="17"/>
      <c r="CC508" s="12"/>
      <c r="CD508" s="12"/>
      <c r="CG508" s="12"/>
      <c r="CH508" s="12"/>
      <c r="CJ508" s="12"/>
      <c r="CK508" s="12"/>
      <c r="CN508" s="12"/>
      <c r="CO508" s="12"/>
      <c r="CT508"/>
      <c r="CV508" s="12"/>
      <c r="CW508" s="12"/>
      <c r="CZ508" s="12"/>
      <c r="DA508" s="12"/>
      <c r="DC508" s="12"/>
      <c r="DD508" s="12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X508" s="9"/>
      <c r="EY508" s="9"/>
      <c r="EZ508" s="9"/>
      <c r="FA508" s="15"/>
      <c r="FB508" s="14"/>
      <c r="FC508" s="10"/>
      <c r="FD508" s="10"/>
      <c r="FE508" s="10"/>
      <c r="FF508" s="10"/>
      <c r="FG508" s="10"/>
      <c r="FH508" s="10"/>
    </row>
    <row r="509" spans="2:164" x14ac:dyDescent="0.25">
      <c r="B509"/>
      <c r="C509"/>
      <c r="D509"/>
      <c r="E509"/>
      <c r="F509" s="16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 s="16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 s="12"/>
      <c r="AK509" s="12"/>
      <c r="AL509" s="17"/>
      <c r="AN509" s="17"/>
      <c r="AP509" s="17"/>
      <c r="AQ509" s="12"/>
      <c r="AR509" s="12"/>
      <c r="AT509" s="17"/>
      <c r="AU509" s="12"/>
      <c r="AV509" s="12"/>
      <c r="AW509" s="17"/>
      <c r="AX509" s="12"/>
      <c r="AY509" s="12"/>
      <c r="BA509" s="12"/>
      <c r="BB509" s="12"/>
      <c r="BD509" s="12"/>
      <c r="BE509" s="12"/>
      <c r="BG509" s="12"/>
      <c r="BH509" s="12"/>
      <c r="BJ509" s="12"/>
      <c r="BK509" s="12"/>
      <c r="BM509" s="12"/>
      <c r="BN509" s="12"/>
      <c r="BO509" s="17"/>
      <c r="BQ509" s="12"/>
      <c r="BR509" s="12"/>
      <c r="BU509" s="12"/>
      <c r="BV509" s="12"/>
      <c r="BW509" s="17"/>
      <c r="BX509" s="17"/>
      <c r="BY509" s="12"/>
      <c r="BZ509" s="12"/>
      <c r="CC509" s="12"/>
      <c r="CD509" s="12"/>
      <c r="CG509" s="12"/>
      <c r="CH509" s="12"/>
      <c r="CI509" s="17"/>
      <c r="CJ509" s="12"/>
      <c r="CK509" s="12"/>
      <c r="CN509" s="12"/>
      <c r="CO509" s="12"/>
      <c r="CT509"/>
      <c r="CV509" s="12"/>
      <c r="CW509" s="12"/>
      <c r="CZ509" s="12"/>
      <c r="DA509" s="12"/>
      <c r="DC509" s="12"/>
      <c r="DD509" s="12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X509" s="9"/>
      <c r="EY509" s="9"/>
      <c r="EZ509" s="9"/>
      <c r="FA509" s="15"/>
      <c r="FB509" s="14"/>
      <c r="FC509" s="10"/>
      <c r="FD509" s="10"/>
      <c r="FE509" s="10"/>
      <c r="FF509" s="10"/>
      <c r="FG509" s="10"/>
      <c r="FH509" s="10"/>
    </row>
    <row r="510" spans="2:164" x14ac:dyDescent="0.25">
      <c r="B510"/>
      <c r="C510"/>
      <c r="D510"/>
      <c r="E510"/>
      <c r="F510" s="16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 s="16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 s="12"/>
      <c r="AK510" s="12"/>
      <c r="AL510" s="17"/>
      <c r="AN510" s="17"/>
      <c r="AP510" s="17"/>
      <c r="AQ510" s="12"/>
      <c r="AR510" s="12"/>
      <c r="AT510" s="17"/>
      <c r="AU510" s="12"/>
      <c r="AV510" s="12"/>
      <c r="AW510" s="17"/>
      <c r="AX510" s="12"/>
      <c r="AY510" s="12"/>
      <c r="BA510" s="12"/>
      <c r="BB510" s="12"/>
      <c r="BD510" s="12"/>
      <c r="BE510" s="12"/>
      <c r="BG510" s="12"/>
      <c r="BH510" s="12"/>
      <c r="BJ510" s="12"/>
      <c r="BK510" s="12"/>
      <c r="BM510" s="12"/>
      <c r="BN510" s="12"/>
      <c r="BO510" s="17"/>
      <c r="BQ510" s="12"/>
      <c r="BR510" s="12"/>
      <c r="BU510" s="12"/>
      <c r="BV510" s="12"/>
      <c r="BY510" s="12"/>
      <c r="BZ510" s="12"/>
      <c r="CC510" s="12"/>
      <c r="CD510" s="12"/>
      <c r="CG510" s="12"/>
      <c r="CH510" s="12"/>
      <c r="CJ510" s="12"/>
      <c r="CK510" s="12"/>
      <c r="CN510" s="12"/>
      <c r="CO510" s="12"/>
      <c r="CT510"/>
      <c r="CV510" s="12"/>
      <c r="CW510" s="12"/>
      <c r="CZ510" s="12"/>
      <c r="DA510" s="12"/>
      <c r="DC510" s="12"/>
      <c r="DD510" s="12"/>
      <c r="DE510" s="17"/>
      <c r="DF510" s="17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X510" s="9"/>
      <c r="EY510" s="9"/>
      <c r="EZ510" s="9"/>
      <c r="FA510" s="15"/>
      <c r="FB510" s="14"/>
      <c r="FC510" s="10"/>
      <c r="FD510" s="10"/>
      <c r="FE510" s="10"/>
      <c r="FF510" s="10"/>
      <c r="FG510" s="10"/>
      <c r="FH510" s="10"/>
    </row>
    <row r="511" spans="2:164" x14ac:dyDescent="0.25">
      <c r="B511"/>
      <c r="C511"/>
      <c r="D511"/>
      <c r="E511"/>
      <c r="F511" s="16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s="16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 s="12"/>
      <c r="AK511" s="12"/>
      <c r="AL511" s="17"/>
      <c r="AN511" s="17"/>
      <c r="AP511" s="17"/>
      <c r="AQ511" s="12"/>
      <c r="AR511" s="12"/>
      <c r="AT511" s="17"/>
      <c r="AU511" s="12"/>
      <c r="AV511" s="12"/>
      <c r="AW511" s="17"/>
      <c r="AX511" s="12"/>
      <c r="AY511" s="12"/>
      <c r="BA511" s="12"/>
      <c r="BB511" s="12"/>
      <c r="BD511" s="12"/>
      <c r="BE511" s="12"/>
      <c r="BG511" s="12"/>
      <c r="BH511" s="12"/>
      <c r="BJ511" s="12"/>
      <c r="BK511" s="12"/>
      <c r="BM511" s="12"/>
      <c r="BN511" s="12"/>
      <c r="BQ511" s="12"/>
      <c r="BR511" s="12"/>
      <c r="BU511" s="12"/>
      <c r="BV511" s="12"/>
      <c r="BY511" s="12"/>
      <c r="BZ511" s="12"/>
      <c r="CC511" s="12"/>
      <c r="CD511" s="12"/>
      <c r="CG511" s="12"/>
      <c r="CH511" s="12"/>
      <c r="CI511" s="17"/>
      <c r="CJ511" s="12"/>
      <c r="CK511" s="12"/>
      <c r="CN511" s="12"/>
      <c r="CO511" s="12"/>
      <c r="CT511"/>
      <c r="CV511" s="12"/>
      <c r="CW511" s="12"/>
      <c r="CZ511" s="12"/>
      <c r="DA511" s="12"/>
      <c r="DB511" s="17"/>
      <c r="DC511" s="12"/>
      <c r="DD511" s="12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X511" s="9"/>
      <c r="EY511" s="9"/>
      <c r="EZ511" s="9"/>
      <c r="FA511" s="15"/>
      <c r="FB511" s="14"/>
      <c r="FC511" s="10"/>
      <c r="FD511" s="10"/>
      <c r="FE511" s="10"/>
      <c r="FF511" s="10"/>
      <c r="FG511" s="10"/>
      <c r="FH511" s="10"/>
    </row>
    <row r="512" spans="2:164" x14ac:dyDescent="0.25">
      <c r="B512"/>
      <c r="C512"/>
      <c r="D512"/>
      <c r="E512"/>
      <c r="F512" s="16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s="16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 s="12"/>
      <c r="AK512" s="12"/>
      <c r="AL512" s="17"/>
      <c r="AN512" s="17"/>
      <c r="AP512" s="17"/>
      <c r="AQ512" s="12"/>
      <c r="AR512" s="12"/>
      <c r="AT512" s="17"/>
      <c r="AU512" s="12"/>
      <c r="AV512" s="12"/>
      <c r="AW512" s="17"/>
      <c r="AX512" s="12"/>
      <c r="AY512" s="12"/>
      <c r="BA512" s="12"/>
      <c r="BB512" s="12"/>
      <c r="BD512" s="12"/>
      <c r="BE512" s="12"/>
      <c r="BG512" s="12"/>
      <c r="BH512" s="12"/>
      <c r="BJ512" s="12"/>
      <c r="BK512" s="12"/>
      <c r="BM512" s="12"/>
      <c r="BN512" s="12"/>
      <c r="BO512" s="17"/>
      <c r="BQ512" s="12"/>
      <c r="BR512" s="12"/>
      <c r="BU512" s="12"/>
      <c r="BV512" s="12"/>
      <c r="BW512" s="17"/>
      <c r="BX512" s="17"/>
      <c r="BY512" s="12"/>
      <c r="BZ512" s="12"/>
      <c r="CC512" s="12"/>
      <c r="CD512" s="12"/>
      <c r="CG512" s="12"/>
      <c r="CH512" s="12"/>
      <c r="CI512" s="17"/>
      <c r="CJ512" s="12"/>
      <c r="CK512" s="12"/>
      <c r="CN512" s="12"/>
      <c r="CO512" s="12"/>
      <c r="CT512"/>
      <c r="CV512" s="12"/>
      <c r="CW512" s="12"/>
      <c r="CZ512" s="12"/>
      <c r="DA512" s="12"/>
      <c r="DC512" s="12"/>
      <c r="DD512" s="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X512" s="9"/>
      <c r="EY512" s="9"/>
      <c r="EZ512" s="9"/>
      <c r="FA512" s="15"/>
      <c r="FB512" s="14"/>
      <c r="FC512" s="10"/>
      <c r="FD512" s="10"/>
      <c r="FE512" s="10"/>
      <c r="FF512" s="10"/>
      <c r="FG512" s="10"/>
      <c r="FH512" s="10"/>
    </row>
    <row r="513" spans="2:164" x14ac:dyDescent="0.25">
      <c r="B513"/>
      <c r="C513"/>
      <c r="D513"/>
      <c r="E513"/>
      <c r="F513" s="16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s="16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 s="12"/>
      <c r="AK513" s="12"/>
      <c r="AL513" s="17"/>
      <c r="AN513" s="17"/>
      <c r="AP513" s="17"/>
      <c r="AQ513" s="12"/>
      <c r="AR513" s="12"/>
      <c r="AT513" s="17"/>
      <c r="AU513" s="12"/>
      <c r="AV513" s="12"/>
      <c r="AW513" s="17"/>
      <c r="AX513" s="12"/>
      <c r="AY513" s="12"/>
      <c r="BA513" s="12"/>
      <c r="BB513" s="12"/>
      <c r="BD513" s="12"/>
      <c r="BE513" s="12"/>
      <c r="BG513" s="12"/>
      <c r="BH513" s="12"/>
      <c r="BJ513" s="12"/>
      <c r="BK513" s="12"/>
      <c r="BM513" s="12"/>
      <c r="BN513" s="12"/>
      <c r="BQ513" s="12"/>
      <c r="BR513" s="12"/>
      <c r="BU513" s="12"/>
      <c r="BV513" s="12"/>
      <c r="BY513" s="12"/>
      <c r="BZ513" s="12"/>
      <c r="CC513" s="12"/>
      <c r="CD513" s="12"/>
      <c r="CG513" s="12"/>
      <c r="CH513" s="12"/>
      <c r="CJ513" s="12"/>
      <c r="CK513" s="12"/>
      <c r="CN513" s="12"/>
      <c r="CO513" s="12"/>
      <c r="CT513"/>
      <c r="CV513" s="12"/>
      <c r="CW513" s="12"/>
      <c r="CZ513" s="12"/>
      <c r="DA513" s="12"/>
      <c r="DC513" s="12"/>
      <c r="DD513" s="12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X513" s="9"/>
      <c r="EY513" s="9"/>
      <c r="EZ513" s="9"/>
      <c r="FA513" s="15"/>
      <c r="FB513" s="14"/>
      <c r="FC513" s="10"/>
      <c r="FD513" s="10"/>
      <c r="FE513" s="10"/>
      <c r="FF513" s="10"/>
      <c r="FG513" s="10"/>
      <c r="FH513" s="10"/>
    </row>
    <row r="514" spans="2:164" x14ac:dyDescent="0.25">
      <c r="B514"/>
      <c r="C514"/>
      <c r="D514"/>
      <c r="E514"/>
      <c r="F514" s="16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s="16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 s="12"/>
      <c r="AK514" s="12"/>
      <c r="AL514" s="17"/>
      <c r="AN514" s="17"/>
      <c r="AP514" s="17"/>
      <c r="AQ514" s="12"/>
      <c r="AR514" s="12"/>
      <c r="AT514" s="17"/>
      <c r="AU514" s="12"/>
      <c r="AV514" s="12"/>
      <c r="AW514" s="17"/>
      <c r="AX514" s="12"/>
      <c r="AY514" s="12"/>
      <c r="BA514" s="12"/>
      <c r="BB514" s="12"/>
      <c r="BD514" s="12"/>
      <c r="BE514" s="12"/>
      <c r="BG514" s="12"/>
      <c r="BH514" s="12"/>
      <c r="BJ514" s="12"/>
      <c r="BK514" s="12"/>
      <c r="BM514" s="12"/>
      <c r="BN514" s="12"/>
      <c r="BO514" s="17"/>
      <c r="BQ514" s="12"/>
      <c r="BR514" s="12"/>
      <c r="BS514" s="17"/>
      <c r="BT514" s="17"/>
      <c r="BU514" s="12"/>
      <c r="BV514" s="12"/>
      <c r="BY514" s="12"/>
      <c r="BZ514" s="12"/>
      <c r="CC514" s="12"/>
      <c r="CD514" s="12"/>
      <c r="CG514" s="12"/>
      <c r="CH514" s="12"/>
      <c r="CI514" s="17"/>
      <c r="CJ514" s="12"/>
      <c r="CK514" s="12"/>
      <c r="CN514" s="12"/>
      <c r="CO514" s="12"/>
      <c r="CT514"/>
      <c r="CV514" s="12"/>
      <c r="CW514" s="12"/>
      <c r="CZ514" s="12"/>
      <c r="DA514" s="12"/>
      <c r="DC514" s="12"/>
      <c r="DD514" s="12"/>
      <c r="DE514" s="17"/>
      <c r="DF514" s="17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X514" s="9"/>
      <c r="EY514" s="9"/>
      <c r="EZ514" s="9"/>
      <c r="FA514" s="15"/>
      <c r="FB514" s="14"/>
      <c r="FC514" s="10"/>
      <c r="FD514" s="10"/>
      <c r="FE514" s="10"/>
      <c r="FF514" s="10"/>
      <c r="FG514" s="10"/>
      <c r="FH514" s="10"/>
    </row>
    <row r="515" spans="2:164" x14ac:dyDescent="0.25">
      <c r="B515"/>
      <c r="C515"/>
      <c r="D515"/>
      <c r="E515"/>
      <c r="F515" s="16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s="16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 s="12"/>
      <c r="AK515" s="12"/>
      <c r="AL515" s="17"/>
      <c r="AN515" s="17"/>
      <c r="AP515" s="17"/>
      <c r="AQ515" s="12"/>
      <c r="AR515" s="12"/>
      <c r="AT515" s="17"/>
      <c r="AU515" s="12"/>
      <c r="AV515" s="12"/>
      <c r="AW515" s="17"/>
      <c r="AX515" s="12"/>
      <c r="AY515" s="12"/>
      <c r="BA515" s="12"/>
      <c r="BB515" s="12"/>
      <c r="BD515" s="12"/>
      <c r="BE515" s="12"/>
      <c r="BG515" s="12"/>
      <c r="BH515" s="12"/>
      <c r="BJ515" s="12"/>
      <c r="BK515" s="12"/>
      <c r="BM515" s="12"/>
      <c r="BN515" s="12"/>
      <c r="BQ515" s="12"/>
      <c r="BR515" s="12"/>
      <c r="BU515" s="12"/>
      <c r="BV515" s="12"/>
      <c r="BY515" s="12"/>
      <c r="BZ515" s="12"/>
      <c r="CC515" s="12"/>
      <c r="CD515" s="12"/>
      <c r="CG515" s="12"/>
      <c r="CH515" s="12"/>
      <c r="CJ515" s="12"/>
      <c r="CK515" s="12"/>
      <c r="CN515" s="12"/>
      <c r="CO515" s="12"/>
      <c r="CT515"/>
      <c r="CV515" s="12"/>
      <c r="CW515" s="12"/>
      <c r="CZ515" s="12"/>
      <c r="DA515" s="12"/>
      <c r="DC515" s="12"/>
      <c r="DD515" s="12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X515" s="9"/>
      <c r="EY515" s="9"/>
      <c r="EZ515" s="9"/>
      <c r="FA515" s="15"/>
      <c r="FB515" s="14"/>
      <c r="FC515" s="10"/>
      <c r="FD515" s="10"/>
      <c r="FE515" s="10"/>
      <c r="FF515" s="10"/>
      <c r="FG515" s="10"/>
      <c r="FH515" s="10"/>
    </row>
    <row r="516" spans="2:164" x14ac:dyDescent="0.25">
      <c r="B516"/>
      <c r="C516"/>
      <c r="D516"/>
      <c r="E516"/>
      <c r="F516" s="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s="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 s="12"/>
      <c r="AK516" s="12"/>
      <c r="AL516" s="17"/>
      <c r="AN516" s="17"/>
      <c r="AP516" s="17"/>
      <c r="AQ516" s="12"/>
      <c r="AR516" s="12"/>
      <c r="AT516" s="17"/>
      <c r="AU516" s="12"/>
      <c r="AV516" s="12"/>
      <c r="AW516" s="17"/>
      <c r="AX516" s="12"/>
      <c r="AY516" s="12"/>
      <c r="BA516" s="12"/>
      <c r="BB516" s="12"/>
      <c r="BD516" s="12"/>
      <c r="BE516" s="12"/>
      <c r="BG516" s="12"/>
      <c r="BH516" s="12"/>
      <c r="BJ516" s="12"/>
      <c r="BK516" s="12"/>
      <c r="BM516" s="12"/>
      <c r="BN516" s="12"/>
      <c r="BQ516" s="12"/>
      <c r="BR516" s="12"/>
      <c r="BU516" s="12"/>
      <c r="BV516" s="12"/>
      <c r="BY516" s="12"/>
      <c r="BZ516" s="12"/>
      <c r="CC516" s="12"/>
      <c r="CD516" s="12"/>
      <c r="CG516" s="12"/>
      <c r="CH516" s="12"/>
      <c r="CJ516" s="12"/>
      <c r="CK516" s="12"/>
      <c r="CN516" s="12"/>
      <c r="CO516" s="12"/>
      <c r="CT516"/>
      <c r="CV516" s="12"/>
      <c r="CW516" s="12"/>
      <c r="CZ516" s="12"/>
      <c r="DA516" s="12"/>
      <c r="DC516" s="12"/>
      <c r="DD516" s="12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X516" s="9"/>
      <c r="EY516" s="9"/>
      <c r="EZ516" s="9"/>
      <c r="FA516" s="15"/>
      <c r="FB516" s="14"/>
      <c r="FC516" s="10"/>
      <c r="FD516" s="10"/>
      <c r="FE516" s="10"/>
      <c r="FF516" s="10"/>
      <c r="FG516" s="10"/>
      <c r="FH516" s="10"/>
    </row>
    <row r="517" spans="2:164" x14ac:dyDescent="0.25">
      <c r="B517"/>
      <c r="C517"/>
      <c r="D517"/>
      <c r="E517"/>
      <c r="F517" s="16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s="16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 s="12"/>
      <c r="AK517" s="12"/>
      <c r="AL517" s="17"/>
      <c r="AN517" s="17"/>
      <c r="AP517" s="17"/>
      <c r="AQ517" s="12"/>
      <c r="AR517" s="12"/>
      <c r="AT517" s="17"/>
      <c r="AU517" s="12"/>
      <c r="AV517" s="12"/>
      <c r="AW517" s="17"/>
      <c r="AX517" s="12"/>
      <c r="AY517" s="12"/>
      <c r="BA517" s="12"/>
      <c r="BB517" s="12"/>
      <c r="BD517" s="12"/>
      <c r="BE517" s="12"/>
      <c r="BG517" s="12"/>
      <c r="BH517" s="12"/>
      <c r="BJ517" s="12"/>
      <c r="BK517" s="12"/>
      <c r="BM517" s="12"/>
      <c r="BN517" s="12"/>
      <c r="BQ517" s="12"/>
      <c r="BR517" s="12"/>
      <c r="BU517" s="12"/>
      <c r="BV517" s="12"/>
      <c r="BY517" s="12"/>
      <c r="BZ517" s="12"/>
      <c r="CC517" s="12"/>
      <c r="CD517" s="12"/>
      <c r="CG517" s="12"/>
      <c r="CH517" s="12"/>
      <c r="CJ517" s="12"/>
      <c r="CK517" s="12"/>
      <c r="CN517" s="12"/>
      <c r="CO517" s="12"/>
      <c r="CV517" s="12"/>
      <c r="CW517" s="12"/>
      <c r="CZ517" s="12"/>
      <c r="DA517" s="12"/>
      <c r="DC517" s="12"/>
      <c r="DD517" s="12"/>
      <c r="DE517" s="17"/>
      <c r="DF517" s="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X517" s="9"/>
      <c r="EY517" s="9"/>
      <c r="EZ517" s="9"/>
      <c r="FA517" s="15"/>
      <c r="FB517" s="14"/>
      <c r="FC517" s="10"/>
      <c r="FD517" s="10"/>
      <c r="FE517" s="10"/>
      <c r="FF517" s="10"/>
      <c r="FG517" s="10"/>
      <c r="FH517" s="10"/>
    </row>
    <row r="518" spans="2:164" x14ac:dyDescent="0.25">
      <c r="B518"/>
      <c r="C518"/>
      <c r="D518"/>
      <c r="E518"/>
      <c r="F518" s="16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 s="16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 s="12"/>
      <c r="AK518" s="12"/>
      <c r="AL518" s="17"/>
      <c r="AP518" s="17"/>
      <c r="AQ518" s="12"/>
      <c r="AR518" s="12"/>
      <c r="AT518" s="17"/>
      <c r="AU518" s="12"/>
      <c r="AV518" s="12"/>
      <c r="AW518" s="17"/>
      <c r="AX518" s="12"/>
      <c r="AY518" s="12"/>
      <c r="BA518" s="12"/>
      <c r="BB518" s="12"/>
      <c r="BD518" s="12"/>
      <c r="BE518" s="12"/>
      <c r="BG518" s="12"/>
      <c r="BH518" s="12"/>
      <c r="BJ518" s="12"/>
      <c r="BK518" s="12"/>
      <c r="BM518" s="12"/>
      <c r="BN518" s="12"/>
      <c r="BQ518" s="12"/>
      <c r="BR518" s="12"/>
      <c r="BU518" s="12"/>
      <c r="BV518" s="12"/>
      <c r="BY518" s="12"/>
      <c r="BZ518" s="12"/>
      <c r="CC518" s="12"/>
      <c r="CD518" s="12"/>
      <c r="CG518" s="12"/>
      <c r="CH518" s="12"/>
      <c r="CJ518" s="12"/>
      <c r="CK518" s="12"/>
      <c r="CN518" s="12"/>
      <c r="CO518" s="12"/>
      <c r="CV518" s="12"/>
      <c r="CW518" s="12"/>
      <c r="CZ518" s="12"/>
      <c r="DA518" s="12"/>
      <c r="DC518" s="12"/>
      <c r="DD518" s="12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X518" s="9"/>
      <c r="EY518" s="9"/>
      <c r="EZ518" s="9"/>
      <c r="FA518" s="15"/>
      <c r="FB518" s="14"/>
      <c r="FC518" s="10"/>
      <c r="FD518" s="10"/>
      <c r="FE518" s="10"/>
      <c r="FF518" s="10"/>
      <c r="FG518" s="10"/>
      <c r="FH518" s="10"/>
    </row>
    <row r="519" spans="2:164" x14ac:dyDescent="0.25">
      <c r="B519"/>
      <c r="C519"/>
      <c r="D519"/>
      <c r="E519"/>
      <c r="F519" s="16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 s="16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 s="12"/>
      <c r="AK519" s="12"/>
      <c r="AL519" s="17"/>
      <c r="AN519" s="17"/>
      <c r="AP519" s="17"/>
      <c r="AQ519" s="12"/>
      <c r="AR519" s="12"/>
      <c r="AT519" s="17"/>
      <c r="AU519" s="12"/>
      <c r="AV519" s="12"/>
      <c r="AW519" s="17"/>
      <c r="AX519" s="12"/>
      <c r="AY519" s="12"/>
      <c r="BA519" s="12"/>
      <c r="BB519" s="12"/>
      <c r="BD519" s="12"/>
      <c r="BE519" s="12"/>
      <c r="BG519" s="12"/>
      <c r="BH519" s="12"/>
      <c r="BJ519" s="12"/>
      <c r="BK519" s="12"/>
      <c r="BM519" s="12"/>
      <c r="BN519" s="12"/>
      <c r="BQ519" s="12"/>
      <c r="BR519" s="12"/>
      <c r="BU519" s="12"/>
      <c r="BV519" s="12"/>
      <c r="BY519" s="12"/>
      <c r="BZ519" s="12"/>
      <c r="CC519" s="12"/>
      <c r="CD519" s="12"/>
      <c r="CG519" s="12"/>
      <c r="CH519" s="12"/>
      <c r="CJ519" s="12"/>
      <c r="CK519" s="12"/>
      <c r="CN519" s="12"/>
      <c r="CO519" s="12"/>
      <c r="CV519" s="12"/>
      <c r="CW519" s="12"/>
      <c r="CZ519" s="12"/>
      <c r="DA519" s="12"/>
      <c r="DC519" s="12"/>
      <c r="DD519" s="12"/>
      <c r="DE519" s="17"/>
      <c r="DF519" s="17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X519" s="9"/>
      <c r="EY519" s="9"/>
      <c r="EZ519" s="9"/>
      <c r="FA519" s="15"/>
      <c r="FB519" s="14"/>
      <c r="FC519" s="10"/>
      <c r="FD519" s="10"/>
      <c r="FE519" s="10"/>
      <c r="FF519" s="10"/>
      <c r="FG519" s="10"/>
      <c r="FH519" s="10"/>
    </row>
    <row r="520" spans="2:164" x14ac:dyDescent="0.25">
      <c r="B520"/>
      <c r="C520"/>
      <c r="D520"/>
      <c r="E520"/>
      <c r="F520" s="16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s="16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 s="12"/>
      <c r="AK520" s="12"/>
      <c r="AL520" s="17"/>
      <c r="AN520" s="17"/>
      <c r="AP520" s="17"/>
      <c r="AQ520" s="12"/>
      <c r="AR520" s="12"/>
      <c r="AT520" s="17"/>
      <c r="AU520" s="12"/>
      <c r="AV520" s="12"/>
      <c r="AW520" s="17"/>
      <c r="AX520" s="12"/>
      <c r="AY520" s="12"/>
      <c r="BA520" s="12"/>
      <c r="BB520" s="12"/>
      <c r="BD520" s="12"/>
      <c r="BE520" s="12"/>
      <c r="BG520" s="12"/>
      <c r="BH520" s="12"/>
      <c r="BJ520" s="12"/>
      <c r="BK520" s="12"/>
      <c r="BM520" s="12"/>
      <c r="BN520" s="12"/>
      <c r="BQ520" s="12"/>
      <c r="BR520" s="12"/>
      <c r="BU520" s="12"/>
      <c r="BV520" s="12"/>
      <c r="BY520" s="12"/>
      <c r="BZ520" s="12"/>
      <c r="CC520" s="12"/>
      <c r="CD520" s="12"/>
      <c r="CG520" s="12"/>
      <c r="CH520" s="12"/>
      <c r="CJ520" s="12"/>
      <c r="CK520" s="12"/>
      <c r="CN520" s="12"/>
      <c r="CO520" s="12"/>
      <c r="CV520" s="12"/>
      <c r="CW520" s="12"/>
      <c r="CZ520" s="12"/>
      <c r="DA520" s="12"/>
      <c r="DC520" s="12"/>
      <c r="DD520" s="12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X520" s="9"/>
      <c r="EY520" s="9"/>
      <c r="EZ520" s="9"/>
      <c r="FA520" s="15"/>
      <c r="FB520" s="14"/>
      <c r="FC520" s="10"/>
      <c r="FD520" s="10"/>
      <c r="FE520" s="10"/>
      <c r="FF520" s="10"/>
      <c r="FG520" s="10"/>
      <c r="FH520" s="10"/>
    </row>
    <row r="521" spans="2:164" x14ac:dyDescent="0.25">
      <c r="AJ521" s="12"/>
      <c r="AK521" s="12"/>
      <c r="AQ521" s="12"/>
      <c r="AR521" s="12"/>
      <c r="AU521" s="12"/>
      <c r="AV521" s="12"/>
      <c r="AX521" s="12"/>
      <c r="AY521" s="12"/>
      <c r="BA521" s="12"/>
      <c r="BB521" s="12"/>
      <c r="BD521" s="12"/>
      <c r="BE521" s="12"/>
      <c r="BG521" s="12"/>
      <c r="BH521" s="12"/>
      <c r="BJ521" s="12"/>
      <c r="BK521" s="12"/>
      <c r="BM521" s="12"/>
      <c r="BN521" s="12"/>
      <c r="BQ521" s="12"/>
      <c r="BR521" s="12"/>
      <c r="BU521" s="12"/>
      <c r="BV521" s="12"/>
      <c r="BY521" s="12"/>
      <c r="BZ521" s="12"/>
      <c r="CC521" s="12"/>
      <c r="CD521" s="12"/>
      <c r="CG521" s="12"/>
      <c r="CH521" s="12"/>
      <c r="CJ521" s="12"/>
      <c r="CK521" s="12"/>
      <c r="CN521" s="12"/>
      <c r="CO521" s="12"/>
      <c r="CV521" s="12"/>
      <c r="CW521" s="12"/>
      <c r="CZ521" s="12"/>
      <c r="DA521" s="12"/>
      <c r="DC521" s="12"/>
      <c r="DD521" s="12"/>
      <c r="EX521" s="9"/>
      <c r="EY521" s="9"/>
      <c r="EZ521" s="9"/>
      <c r="FA521" s="15"/>
      <c r="FB521" s="14"/>
      <c r="FC521" s="10"/>
      <c r="FD521" s="10"/>
      <c r="FE521" s="10"/>
      <c r="FF521" s="10"/>
    </row>
    <row r="522" spans="2:164" x14ac:dyDescent="0.25">
      <c r="AJ522" s="12"/>
      <c r="AK522" s="12"/>
      <c r="AQ522" s="12"/>
      <c r="AR522" s="12"/>
      <c r="AU522" s="12"/>
      <c r="AV522" s="12"/>
      <c r="AX522" s="12"/>
      <c r="AY522" s="12"/>
      <c r="BA522" s="12"/>
      <c r="BB522" s="12"/>
      <c r="BD522" s="12"/>
      <c r="BE522" s="12"/>
      <c r="BG522" s="12"/>
      <c r="BH522" s="12"/>
      <c r="BJ522" s="12"/>
      <c r="BK522" s="12"/>
      <c r="BM522" s="12"/>
      <c r="BN522" s="12"/>
      <c r="BQ522" s="12"/>
      <c r="BR522" s="12"/>
      <c r="BU522" s="12"/>
      <c r="BV522" s="12"/>
      <c r="BY522" s="12"/>
      <c r="BZ522" s="12"/>
      <c r="CC522" s="12"/>
      <c r="CD522" s="12"/>
      <c r="CG522" s="12"/>
      <c r="CH522" s="12"/>
      <c r="CJ522" s="12"/>
      <c r="CK522" s="12"/>
      <c r="CN522" s="12"/>
      <c r="CO522" s="12"/>
      <c r="CV522" s="12"/>
      <c r="CW522" s="12"/>
      <c r="CZ522" s="12"/>
      <c r="DA522" s="12"/>
      <c r="DC522" s="12"/>
      <c r="DD522" s="12"/>
      <c r="EX522" s="9"/>
      <c r="EY522" s="9"/>
      <c r="EZ522" s="9"/>
      <c r="FA522" s="15"/>
      <c r="FB522" s="14"/>
      <c r="FC522" s="10"/>
      <c r="FD522" s="10"/>
      <c r="FE522" s="10"/>
      <c r="FF522" s="10"/>
    </row>
    <row r="523" spans="2:164" x14ac:dyDescent="0.25">
      <c r="AJ523" s="12"/>
      <c r="AK523" s="12"/>
      <c r="AQ523" s="12"/>
      <c r="AR523" s="12"/>
      <c r="AU523" s="12"/>
      <c r="AV523" s="12"/>
      <c r="AX523" s="12"/>
      <c r="AY523" s="12"/>
      <c r="BA523" s="12"/>
      <c r="BB523" s="12"/>
      <c r="BD523" s="12"/>
      <c r="BE523" s="12"/>
      <c r="BG523" s="12"/>
      <c r="BH523" s="12"/>
      <c r="BJ523" s="12"/>
      <c r="BK523" s="12"/>
      <c r="BM523" s="12"/>
      <c r="BN523" s="12"/>
      <c r="BQ523" s="12"/>
      <c r="BR523" s="12"/>
      <c r="BU523" s="12"/>
      <c r="BV523" s="12"/>
      <c r="BY523" s="12"/>
      <c r="BZ523" s="12"/>
      <c r="CC523" s="12"/>
      <c r="CD523" s="12"/>
      <c r="CG523" s="12"/>
      <c r="CH523" s="12"/>
      <c r="CJ523" s="12"/>
      <c r="CK523" s="12"/>
      <c r="CN523" s="12"/>
      <c r="CO523" s="12"/>
      <c r="CV523" s="12"/>
      <c r="CW523" s="12"/>
      <c r="CZ523" s="12"/>
      <c r="DA523" s="12"/>
      <c r="DC523" s="12"/>
      <c r="DD523" s="12"/>
      <c r="EX523" s="9"/>
      <c r="EY523" s="9"/>
      <c r="EZ523" s="9"/>
      <c r="FA523" s="15"/>
      <c r="FB523" s="14"/>
      <c r="FC523" s="10"/>
      <c r="FD523" s="10"/>
      <c r="FE523" s="10"/>
      <c r="FF523" s="10"/>
    </row>
    <row r="524" spans="2:164" x14ac:dyDescent="0.25">
      <c r="AJ524" s="12"/>
      <c r="AK524" s="12"/>
      <c r="AQ524" s="12"/>
      <c r="AR524" s="12"/>
      <c r="AU524" s="12"/>
      <c r="AV524" s="12"/>
      <c r="AX524" s="12"/>
      <c r="AY524" s="12"/>
      <c r="BA524" s="12"/>
      <c r="BB524" s="12"/>
      <c r="BD524" s="12"/>
      <c r="BE524" s="12"/>
      <c r="BG524" s="12"/>
      <c r="BH524" s="12"/>
      <c r="BJ524" s="12"/>
      <c r="BK524" s="12"/>
      <c r="BM524" s="12"/>
      <c r="BN524" s="12"/>
      <c r="BQ524" s="12"/>
      <c r="BR524" s="12"/>
      <c r="BU524" s="12"/>
      <c r="BV524" s="12"/>
      <c r="BY524" s="12"/>
      <c r="BZ524" s="12"/>
      <c r="CC524" s="12"/>
      <c r="CD524" s="12"/>
      <c r="CG524" s="12"/>
      <c r="CH524" s="12"/>
      <c r="CJ524" s="12"/>
      <c r="CK524" s="12"/>
      <c r="CN524" s="12"/>
      <c r="CO524" s="12"/>
      <c r="CV524" s="12"/>
      <c r="CW524" s="12"/>
      <c r="CZ524" s="12"/>
      <c r="DA524" s="12"/>
      <c r="DC524" s="12"/>
      <c r="DD524" s="12"/>
      <c r="EX524" s="9"/>
      <c r="EY524" s="9"/>
      <c r="EZ524" s="9"/>
      <c r="FA524" s="15"/>
      <c r="FB524" s="14"/>
      <c r="FC524" s="10"/>
      <c r="FD524" s="10"/>
      <c r="FE524" s="10"/>
      <c r="FF524" s="10"/>
    </row>
    <row r="525" spans="2:164" x14ac:dyDescent="0.25">
      <c r="AJ525" s="12"/>
      <c r="AK525" s="12"/>
      <c r="AQ525" s="12"/>
      <c r="AR525" s="12"/>
      <c r="AU525" s="12"/>
      <c r="AV525" s="12"/>
      <c r="AX525" s="12"/>
      <c r="AY525" s="12"/>
      <c r="BA525" s="12"/>
      <c r="BB525" s="12"/>
      <c r="BD525" s="12"/>
      <c r="BE525" s="12"/>
      <c r="BG525" s="12"/>
      <c r="BH525" s="12"/>
      <c r="BJ525" s="12"/>
      <c r="BK525" s="12"/>
      <c r="BM525" s="12"/>
      <c r="BN525" s="12"/>
      <c r="BQ525" s="12"/>
      <c r="BR525" s="12"/>
      <c r="BU525" s="12"/>
      <c r="BV525" s="12"/>
      <c r="BY525" s="12"/>
      <c r="BZ525" s="12"/>
      <c r="CC525" s="12"/>
      <c r="CD525" s="12"/>
      <c r="CG525" s="12"/>
      <c r="CH525" s="12"/>
      <c r="CJ525" s="12"/>
      <c r="CK525" s="12"/>
      <c r="CN525" s="12"/>
      <c r="CO525" s="12"/>
      <c r="CV525" s="12"/>
      <c r="CW525" s="12"/>
      <c r="CZ525" s="12"/>
      <c r="DA525" s="12"/>
      <c r="DC525" s="12"/>
      <c r="DD525" s="12"/>
      <c r="EX525" s="9"/>
      <c r="EY525" s="9"/>
      <c r="EZ525" s="9"/>
      <c r="FA525" s="15"/>
      <c r="FB525" s="14"/>
      <c r="FC525" s="10"/>
      <c r="FD525" s="10"/>
      <c r="FE525" s="10"/>
      <c r="FF525" s="10"/>
    </row>
    <row r="526" spans="2:164" x14ac:dyDescent="0.25">
      <c r="AJ526" s="12"/>
      <c r="AK526" s="12"/>
      <c r="AQ526" s="12"/>
      <c r="AR526" s="12"/>
      <c r="AU526" s="12"/>
      <c r="AV526" s="12"/>
      <c r="AX526" s="12"/>
      <c r="AY526" s="12"/>
      <c r="BA526" s="12"/>
      <c r="BB526" s="12"/>
      <c r="BD526" s="12"/>
      <c r="BE526" s="12"/>
      <c r="BG526" s="12"/>
      <c r="BH526" s="12"/>
      <c r="BJ526" s="12"/>
      <c r="BK526" s="12"/>
      <c r="BM526" s="12"/>
      <c r="BN526" s="12"/>
      <c r="BQ526" s="12"/>
      <c r="BR526" s="12"/>
      <c r="BU526" s="12"/>
      <c r="BV526" s="12"/>
      <c r="BY526" s="12"/>
      <c r="BZ526" s="12"/>
      <c r="CC526" s="12"/>
      <c r="CD526" s="12"/>
      <c r="CG526" s="12"/>
      <c r="CH526" s="12"/>
      <c r="CJ526" s="12"/>
      <c r="CK526" s="12"/>
      <c r="CN526" s="12"/>
      <c r="CO526" s="12"/>
      <c r="CV526" s="12"/>
      <c r="CW526" s="12"/>
      <c r="CZ526" s="12"/>
      <c r="DA526" s="12"/>
      <c r="DC526" s="12"/>
      <c r="DD526" s="12"/>
      <c r="EX526" s="9"/>
      <c r="EY526" s="9"/>
      <c r="EZ526" s="9"/>
      <c r="FA526" s="15"/>
      <c r="FB526" s="14"/>
      <c r="FC526" s="10"/>
      <c r="FD526" s="10"/>
      <c r="FE526" s="10"/>
      <c r="FF526" s="10"/>
    </row>
    <row r="527" spans="2:164" x14ac:dyDescent="0.25">
      <c r="AJ527" s="12"/>
      <c r="AK527" s="12"/>
      <c r="AQ527" s="12"/>
      <c r="AR527" s="12"/>
      <c r="AU527" s="12"/>
      <c r="AV527" s="12"/>
      <c r="AX527" s="12"/>
      <c r="AY527" s="12"/>
      <c r="BA527" s="12"/>
      <c r="BB527" s="12"/>
      <c r="BD527" s="12"/>
      <c r="BE527" s="12"/>
      <c r="BG527" s="12"/>
      <c r="BH527" s="12"/>
      <c r="BJ527" s="12"/>
      <c r="BK527" s="12"/>
      <c r="BM527" s="12"/>
      <c r="BN527" s="12"/>
      <c r="BQ527" s="12"/>
      <c r="BR527" s="12"/>
      <c r="BU527" s="12"/>
      <c r="BV527" s="12"/>
      <c r="BY527" s="12"/>
      <c r="BZ527" s="12"/>
      <c r="CC527" s="12"/>
      <c r="CD527" s="12"/>
      <c r="CG527" s="12"/>
      <c r="CH527" s="12"/>
      <c r="CJ527" s="12"/>
      <c r="CK527" s="12"/>
      <c r="CN527" s="12"/>
      <c r="CO527" s="12"/>
      <c r="CV527" s="12"/>
      <c r="CW527" s="12"/>
      <c r="CZ527" s="12"/>
      <c r="DA527" s="12"/>
      <c r="DC527" s="12"/>
      <c r="DD527" s="12"/>
      <c r="EX527" s="9"/>
      <c r="EY527" s="9"/>
      <c r="EZ527" s="9"/>
      <c r="FA527" s="15"/>
      <c r="FB527" s="14"/>
      <c r="FC527" s="10"/>
      <c r="FD527" s="10"/>
      <c r="FE527" s="10"/>
      <c r="FF527" s="10"/>
    </row>
    <row r="528" spans="2:164" x14ac:dyDescent="0.25">
      <c r="AJ528" s="12"/>
      <c r="AK528" s="12"/>
      <c r="AQ528" s="12"/>
      <c r="AR528" s="12"/>
      <c r="AU528" s="12"/>
      <c r="AV528" s="12"/>
      <c r="AX528" s="12"/>
      <c r="AY528" s="12"/>
      <c r="BA528" s="12"/>
      <c r="BB528" s="12"/>
      <c r="BD528" s="12"/>
      <c r="BE528" s="12"/>
      <c r="BG528" s="12"/>
      <c r="BH528" s="12"/>
      <c r="BJ528" s="12"/>
      <c r="BK528" s="12"/>
      <c r="BM528" s="12"/>
      <c r="BN528" s="12"/>
      <c r="BQ528" s="12"/>
      <c r="BR528" s="12"/>
      <c r="BU528" s="12"/>
      <c r="BV528" s="12"/>
      <c r="BY528" s="12"/>
      <c r="BZ528" s="12"/>
      <c r="CC528" s="12"/>
      <c r="CD528" s="12"/>
      <c r="CG528" s="12"/>
      <c r="CH528" s="12"/>
      <c r="CJ528" s="12"/>
      <c r="CK528" s="12"/>
      <c r="CN528" s="12"/>
      <c r="CO528" s="12"/>
      <c r="CV528" s="12"/>
      <c r="CW528" s="12"/>
      <c r="CZ528" s="12"/>
      <c r="DA528" s="12"/>
      <c r="DC528" s="12"/>
      <c r="DD528" s="12"/>
      <c r="EX528" s="9"/>
      <c r="EY528" s="9"/>
      <c r="EZ528" s="9"/>
      <c r="FA528" s="15"/>
      <c r="FB528" s="14"/>
      <c r="FC528" s="10"/>
      <c r="FD528" s="10"/>
      <c r="FE528" s="10"/>
      <c r="FF528" s="10"/>
    </row>
    <row r="529" spans="36:162" x14ac:dyDescent="0.25">
      <c r="AJ529" s="12"/>
      <c r="AK529" s="12"/>
      <c r="AQ529" s="12"/>
      <c r="AR529" s="12"/>
      <c r="AU529" s="12"/>
      <c r="AV529" s="12"/>
      <c r="AX529" s="12"/>
      <c r="AY529" s="12"/>
      <c r="BA529" s="12"/>
      <c r="BB529" s="12"/>
      <c r="BD529" s="12"/>
      <c r="BE529" s="12"/>
      <c r="BG529" s="12"/>
      <c r="BH529" s="12"/>
      <c r="BJ529" s="12"/>
      <c r="BK529" s="12"/>
      <c r="BM529" s="12"/>
      <c r="BN529" s="12"/>
      <c r="BQ529" s="12"/>
      <c r="BR529" s="12"/>
      <c r="BU529" s="12"/>
      <c r="BV529" s="12"/>
      <c r="BY529" s="12"/>
      <c r="BZ529" s="12"/>
      <c r="CC529" s="12"/>
      <c r="CD529" s="12"/>
      <c r="CG529" s="12"/>
      <c r="CH529" s="12"/>
      <c r="CJ529" s="12"/>
      <c r="CK529" s="12"/>
      <c r="CN529" s="12"/>
      <c r="CO529" s="12"/>
      <c r="CV529" s="12"/>
      <c r="CW529" s="12"/>
      <c r="CZ529" s="12"/>
      <c r="DA529" s="12"/>
      <c r="DC529" s="12"/>
      <c r="DD529" s="12"/>
      <c r="EX529" s="9"/>
      <c r="EY529" s="9"/>
      <c r="EZ529" s="9"/>
      <c r="FA529" s="15"/>
      <c r="FB529" s="14"/>
      <c r="FC529" s="10"/>
      <c r="FD529" s="10"/>
      <c r="FE529" s="10"/>
      <c r="FF529" s="10"/>
    </row>
    <row r="530" spans="36:162" x14ac:dyDescent="0.25">
      <c r="AJ530" s="12"/>
      <c r="AK530" s="12"/>
      <c r="AQ530" s="12"/>
      <c r="AR530" s="12"/>
      <c r="AU530" s="12"/>
      <c r="AV530" s="12"/>
      <c r="AX530" s="12"/>
      <c r="AY530" s="12"/>
      <c r="BA530" s="12"/>
      <c r="BB530" s="12"/>
      <c r="BD530" s="12"/>
      <c r="BE530" s="12"/>
      <c r="BG530" s="12"/>
      <c r="BH530" s="12"/>
      <c r="BJ530" s="12"/>
      <c r="BK530" s="12"/>
      <c r="BM530" s="12"/>
      <c r="BN530" s="12"/>
      <c r="BQ530" s="12"/>
      <c r="BR530" s="12"/>
      <c r="BU530" s="12"/>
      <c r="BV530" s="12"/>
      <c r="BY530" s="12"/>
      <c r="BZ530" s="12"/>
      <c r="CC530" s="12"/>
      <c r="CD530" s="12"/>
      <c r="CG530" s="12"/>
      <c r="CH530" s="12"/>
      <c r="CJ530" s="12"/>
      <c r="CK530" s="12"/>
      <c r="CN530" s="12"/>
      <c r="CO530" s="12"/>
      <c r="CV530" s="12"/>
      <c r="CW530" s="12"/>
      <c r="CZ530" s="12"/>
      <c r="DA530" s="12"/>
      <c r="DC530" s="12"/>
      <c r="DD530" s="12"/>
      <c r="EX530" s="9"/>
      <c r="EY530" s="9"/>
      <c r="EZ530" s="9"/>
      <c r="FA530" s="15"/>
      <c r="FB530" s="14"/>
      <c r="FC530" s="10"/>
      <c r="FD530" s="10"/>
      <c r="FE530" s="10"/>
      <c r="FF530" s="10"/>
    </row>
    <row r="531" spans="36:162" x14ac:dyDescent="0.25">
      <c r="AJ531" s="12"/>
      <c r="AK531" s="12"/>
      <c r="AQ531" s="12"/>
      <c r="AR531" s="12"/>
      <c r="AU531" s="12"/>
      <c r="AV531" s="12"/>
      <c r="AX531" s="12"/>
      <c r="AY531" s="12"/>
      <c r="BA531" s="12"/>
      <c r="BB531" s="12"/>
      <c r="BD531" s="12"/>
      <c r="BE531" s="12"/>
      <c r="BG531" s="12"/>
      <c r="BH531" s="12"/>
      <c r="BJ531" s="12"/>
      <c r="BK531" s="12"/>
      <c r="BM531" s="12"/>
      <c r="BN531" s="12"/>
      <c r="BQ531" s="12"/>
      <c r="BR531" s="12"/>
      <c r="BU531" s="12"/>
      <c r="BV531" s="12"/>
      <c r="BY531" s="12"/>
      <c r="BZ531" s="12"/>
      <c r="CC531" s="12"/>
      <c r="CD531" s="12"/>
      <c r="CG531" s="12"/>
      <c r="CH531" s="12"/>
      <c r="CJ531" s="12"/>
      <c r="CK531" s="12"/>
      <c r="CN531" s="12"/>
      <c r="CO531" s="12"/>
      <c r="CV531" s="12"/>
      <c r="CW531" s="12"/>
      <c r="CZ531" s="12"/>
      <c r="DA531" s="12"/>
      <c r="DC531" s="12"/>
      <c r="DD531" s="12"/>
      <c r="EX531" s="9"/>
      <c r="EY531" s="9"/>
      <c r="EZ531" s="9"/>
      <c r="FA531" s="15"/>
      <c r="FB531" s="14"/>
      <c r="FC531" s="10"/>
      <c r="FD531" s="10"/>
      <c r="FE531" s="10"/>
      <c r="FF531" s="10"/>
    </row>
    <row r="532" spans="36:162" x14ac:dyDescent="0.25">
      <c r="AJ532" s="12"/>
      <c r="AK532" s="12"/>
      <c r="AQ532" s="12"/>
      <c r="AR532" s="12"/>
      <c r="AU532" s="12"/>
      <c r="AV532" s="12"/>
      <c r="AX532" s="12"/>
      <c r="AY532" s="12"/>
      <c r="BA532" s="12"/>
      <c r="BB532" s="12"/>
      <c r="BD532" s="12"/>
      <c r="BE532" s="12"/>
      <c r="BG532" s="12"/>
      <c r="BH532" s="12"/>
      <c r="BJ532" s="12"/>
      <c r="BK532" s="12"/>
      <c r="BM532" s="12"/>
      <c r="BN532" s="12"/>
      <c r="BQ532" s="12"/>
      <c r="BR532" s="12"/>
      <c r="BU532" s="12"/>
      <c r="BV532" s="12"/>
      <c r="BY532" s="12"/>
      <c r="BZ532" s="12"/>
      <c r="CC532" s="12"/>
      <c r="CD532" s="12"/>
      <c r="CG532" s="12"/>
      <c r="CH532" s="12"/>
      <c r="CJ532" s="12"/>
      <c r="CK532" s="12"/>
      <c r="CN532" s="12"/>
      <c r="CO532" s="12"/>
      <c r="CV532" s="12"/>
      <c r="CW532" s="12"/>
      <c r="CZ532" s="12"/>
      <c r="DA532" s="12"/>
      <c r="DC532" s="12"/>
      <c r="DD532" s="12"/>
      <c r="EX532" s="9"/>
      <c r="EY532" s="9"/>
      <c r="EZ532" s="9"/>
      <c r="FA532" s="15"/>
      <c r="FB532" s="14"/>
      <c r="FC532" s="10"/>
      <c r="FD532" s="10"/>
      <c r="FE532" s="10"/>
      <c r="FF532" s="10"/>
    </row>
    <row r="533" spans="36:162" x14ac:dyDescent="0.25">
      <c r="AJ533" s="12"/>
      <c r="AK533" s="12"/>
      <c r="AQ533" s="12"/>
      <c r="AR533" s="12"/>
      <c r="AU533" s="12"/>
      <c r="AV533" s="12"/>
      <c r="AX533" s="12"/>
      <c r="AY533" s="12"/>
      <c r="BA533" s="12"/>
      <c r="BB533" s="12"/>
      <c r="BD533" s="12"/>
      <c r="BE533" s="12"/>
      <c r="BG533" s="12"/>
      <c r="BH533" s="12"/>
      <c r="BJ533" s="12"/>
      <c r="BK533" s="12"/>
      <c r="BM533" s="12"/>
      <c r="BN533" s="12"/>
      <c r="BQ533" s="12"/>
      <c r="BR533" s="12"/>
      <c r="BU533" s="12"/>
      <c r="BV533" s="12"/>
      <c r="BY533" s="12"/>
      <c r="BZ533" s="12"/>
      <c r="CC533" s="12"/>
      <c r="CD533" s="12"/>
      <c r="CG533" s="12"/>
      <c r="CH533" s="12"/>
      <c r="CJ533" s="12"/>
      <c r="CK533" s="12"/>
      <c r="CN533" s="12"/>
      <c r="CO533" s="12"/>
      <c r="CV533" s="12"/>
      <c r="CW533" s="12"/>
      <c r="CZ533" s="12"/>
      <c r="DA533" s="12"/>
      <c r="DC533" s="12"/>
      <c r="DD533" s="12"/>
      <c r="EX533" s="9"/>
      <c r="EY533" s="9"/>
      <c r="EZ533" s="9"/>
      <c r="FA533" s="15"/>
      <c r="FB533" s="14"/>
      <c r="FC533" s="10"/>
      <c r="FD533" s="10"/>
      <c r="FE533" s="10"/>
      <c r="FF533" s="10"/>
    </row>
    <row r="534" spans="36:162" x14ac:dyDescent="0.25">
      <c r="AJ534" s="12"/>
      <c r="AK534" s="12"/>
      <c r="AQ534" s="12"/>
      <c r="AR534" s="12"/>
      <c r="AU534" s="12"/>
      <c r="AV534" s="12"/>
      <c r="AX534" s="12"/>
      <c r="AY534" s="12"/>
      <c r="BA534" s="12"/>
      <c r="BB534" s="12"/>
      <c r="BD534" s="12"/>
      <c r="BE534" s="12"/>
      <c r="BG534" s="12"/>
      <c r="BH534" s="12"/>
      <c r="BJ534" s="12"/>
      <c r="BK534" s="12"/>
      <c r="BM534" s="12"/>
      <c r="BN534" s="12"/>
      <c r="BQ534" s="12"/>
      <c r="BR534" s="12"/>
      <c r="BU534" s="12"/>
      <c r="BV534" s="12"/>
      <c r="BY534" s="12"/>
      <c r="BZ534" s="12"/>
      <c r="CC534" s="12"/>
      <c r="CD534" s="12"/>
      <c r="CG534" s="12"/>
      <c r="CH534" s="12"/>
      <c r="CJ534" s="12"/>
      <c r="CK534" s="12"/>
      <c r="CN534" s="12"/>
      <c r="CO534" s="12"/>
      <c r="CV534" s="12"/>
      <c r="CW534" s="12"/>
      <c r="CZ534" s="12"/>
      <c r="DA534" s="12"/>
      <c r="DC534" s="12"/>
      <c r="DD534" s="12"/>
      <c r="EX534" s="9"/>
      <c r="EY534" s="9"/>
      <c r="EZ534" s="9"/>
      <c r="FA534" s="15"/>
      <c r="FB534" s="14"/>
      <c r="FC534" s="10"/>
      <c r="FD534" s="10"/>
      <c r="FE534" s="10"/>
      <c r="FF534" s="10"/>
    </row>
    <row r="535" spans="36:162" x14ac:dyDescent="0.25">
      <c r="AJ535" s="12"/>
      <c r="AK535" s="12"/>
      <c r="AQ535" s="12"/>
      <c r="AR535" s="12"/>
      <c r="AU535" s="12"/>
      <c r="AV535" s="12"/>
      <c r="AX535" s="12"/>
      <c r="AY535" s="12"/>
      <c r="BA535" s="12"/>
      <c r="BB535" s="12"/>
      <c r="BD535" s="12"/>
      <c r="BE535" s="12"/>
      <c r="BG535" s="12"/>
      <c r="BH535" s="12"/>
      <c r="BJ535" s="12"/>
      <c r="BK535" s="12"/>
      <c r="BM535" s="12"/>
      <c r="BN535" s="12"/>
      <c r="BQ535" s="12"/>
      <c r="BR535" s="12"/>
      <c r="BU535" s="12"/>
      <c r="BV535" s="12"/>
      <c r="BY535" s="12"/>
      <c r="BZ535" s="12"/>
      <c r="CC535" s="12"/>
      <c r="CD535" s="12"/>
      <c r="CG535" s="12"/>
      <c r="CH535" s="12"/>
      <c r="CJ535" s="12"/>
      <c r="CK535" s="12"/>
      <c r="CN535" s="12"/>
      <c r="CO535" s="12"/>
      <c r="CV535" s="12"/>
      <c r="CW535" s="12"/>
      <c r="CZ535" s="12"/>
      <c r="DA535" s="12"/>
      <c r="DC535" s="12"/>
      <c r="DD535" s="12"/>
      <c r="EX535" s="9"/>
      <c r="EY535" s="9"/>
      <c r="EZ535" s="9"/>
      <c r="FA535" s="15"/>
      <c r="FB535" s="14"/>
      <c r="FC535" s="10"/>
      <c r="FD535" s="10"/>
      <c r="FE535" s="10"/>
      <c r="FF535" s="10"/>
    </row>
    <row r="536" spans="36:162" x14ac:dyDescent="0.25">
      <c r="AJ536" s="12"/>
      <c r="AK536" s="12"/>
      <c r="AQ536" s="12"/>
      <c r="AR536" s="12"/>
      <c r="AU536" s="12"/>
      <c r="AV536" s="12"/>
      <c r="AX536" s="12"/>
      <c r="AY536" s="12"/>
      <c r="BA536" s="12"/>
      <c r="BB536" s="12"/>
      <c r="BD536" s="12"/>
      <c r="BE536" s="12"/>
      <c r="BG536" s="12"/>
      <c r="BH536" s="12"/>
      <c r="BJ536" s="12"/>
      <c r="BK536" s="12"/>
      <c r="BM536" s="12"/>
      <c r="BN536" s="12"/>
      <c r="BQ536" s="12"/>
      <c r="BR536" s="12"/>
      <c r="BU536" s="12"/>
      <c r="BV536" s="12"/>
      <c r="BY536" s="12"/>
      <c r="BZ536" s="12"/>
      <c r="CC536" s="12"/>
      <c r="CD536" s="12"/>
      <c r="CG536" s="12"/>
      <c r="CH536" s="12"/>
      <c r="CJ536" s="12"/>
      <c r="CK536" s="12"/>
      <c r="CN536" s="12"/>
      <c r="CO536" s="12"/>
      <c r="CV536" s="12"/>
      <c r="CW536" s="12"/>
      <c r="CZ536" s="12"/>
      <c r="DA536" s="12"/>
      <c r="DC536" s="12"/>
      <c r="DD536" s="12"/>
      <c r="EX536" s="9"/>
      <c r="EY536" s="9"/>
      <c r="EZ536" s="9"/>
      <c r="FA536" s="15"/>
      <c r="FB536" s="14"/>
      <c r="FC536" s="10"/>
      <c r="FD536" s="10"/>
      <c r="FE536" s="10"/>
      <c r="FF536" s="10"/>
    </row>
    <row r="537" spans="36:162" x14ac:dyDescent="0.25">
      <c r="AJ537" s="12"/>
      <c r="AK537" s="12"/>
      <c r="AQ537" s="12"/>
      <c r="AR537" s="12"/>
      <c r="AU537" s="12"/>
      <c r="AV537" s="12"/>
      <c r="AX537" s="12"/>
      <c r="AY537" s="12"/>
      <c r="BA537" s="12"/>
      <c r="BB537" s="12"/>
      <c r="BD537" s="12"/>
      <c r="BE537" s="12"/>
      <c r="BG537" s="12"/>
      <c r="BH537" s="12"/>
      <c r="BJ537" s="12"/>
      <c r="BK537" s="12"/>
      <c r="BM537" s="12"/>
      <c r="BN537" s="12"/>
      <c r="BQ537" s="12"/>
      <c r="BR537" s="12"/>
      <c r="BU537" s="12"/>
      <c r="BV537" s="12"/>
      <c r="BY537" s="12"/>
      <c r="BZ537" s="12"/>
      <c r="CC537" s="12"/>
      <c r="CD537" s="12"/>
      <c r="CG537" s="12"/>
      <c r="CH537" s="12"/>
      <c r="CJ537" s="12"/>
      <c r="CK537" s="12"/>
      <c r="CN537" s="12"/>
      <c r="CO537" s="12"/>
      <c r="CV537" s="12"/>
      <c r="CW537" s="12"/>
      <c r="CZ537" s="12"/>
      <c r="DA537" s="12"/>
      <c r="DC537" s="12"/>
      <c r="DD537" s="12"/>
      <c r="EX537" s="9"/>
      <c r="EY537" s="9"/>
      <c r="EZ537" s="9"/>
      <c r="FA537" s="15"/>
      <c r="FB537" s="14"/>
      <c r="FC537" s="10"/>
      <c r="FD537" s="10"/>
      <c r="FE537" s="10"/>
      <c r="FF537" s="10"/>
    </row>
    <row r="538" spans="36:162" x14ac:dyDescent="0.25">
      <c r="AJ538" s="12"/>
      <c r="AK538" s="12"/>
      <c r="AQ538" s="12"/>
      <c r="AR538" s="12"/>
      <c r="AU538" s="12"/>
      <c r="AV538" s="12"/>
      <c r="AX538" s="12"/>
      <c r="AY538" s="12"/>
      <c r="BA538" s="12"/>
      <c r="BB538" s="12"/>
      <c r="BD538" s="12"/>
      <c r="BE538" s="12"/>
      <c r="BG538" s="12"/>
      <c r="BH538" s="12"/>
      <c r="BJ538" s="12"/>
      <c r="BK538" s="12"/>
      <c r="BM538" s="12"/>
      <c r="BN538" s="12"/>
      <c r="BQ538" s="12"/>
      <c r="BR538" s="12"/>
      <c r="BU538" s="12"/>
      <c r="BV538" s="12"/>
      <c r="BY538" s="12"/>
      <c r="BZ538" s="12"/>
      <c r="CC538" s="12"/>
      <c r="CD538" s="12"/>
      <c r="CG538" s="12"/>
      <c r="CH538" s="12"/>
      <c r="CJ538" s="12"/>
      <c r="CK538" s="12"/>
      <c r="CN538" s="12"/>
      <c r="CO538" s="12"/>
      <c r="CV538" s="12"/>
      <c r="CW538" s="12"/>
      <c r="CZ538" s="12"/>
      <c r="DA538" s="12"/>
      <c r="DC538" s="12"/>
      <c r="DD538" s="12"/>
      <c r="EX538" s="9"/>
      <c r="EY538" s="9"/>
      <c r="EZ538" s="9"/>
      <c r="FA538" s="15"/>
      <c r="FB538" s="14"/>
      <c r="FC538" s="10"/>
      <c r="FD538" s="10"/>
      <c r="FE538" s="10"/>
      <c r="FF538" s="10"/>
    </row>
    <row r="539" spans="36:162" x14ac:dyDescent="0.25">
      <c r="AJ539" s="12"/>
      <c r="AK539" s="12"/>
      <c r="AQ539" s="12"/>
      <c r="AR539" s="12"/>
      <c r="AU539" s="12"/>
      <c r="AV539" s="12"/>
      <c r="AX539" s="12"/>
      <c r="AY539" s="12"/>
      <c r="BA539" s="12"/>
      <c r="BB539" s="12"/>
      <c r="BD539" s="12"/>
      <c r="BE539" s="12"/>
      <c r="BG539" s="12"/>
      <c r="BH539" s="12"/>
      <c r="BJ539" s="12"/>
      <c r="BK539" s="12"/>
      <c r="BM539" s="12"/>
      <c r="BN539" s="12"/>
      <c r="BQ539" s="12"/>
      <c r="BR539" s="12"/>
      <c r="BU539" s="12"/>
      <c r="BV539" s="12"/>
      <c r="BY539" s="12"/>
      <c r="BZ539" s="12"/>
      <c r="CC539" s="12"/>
      <c r="CD539" s="12"/>
      <c r="CG539" s="12"/>
      <c r="CH539" s="12"/>
      <c r="CJ539" s="12"/>
      <c r="CK539" s="12"/>
      <c r="CN539" s="12"/>
      <c r="CO539" s="12"/>
      <c r="CV539" s="12"/>
      <c r="CW539" s="12"/>
      <c r="CZ539" s="12"/>
      <c r="DA539" s="12"/>
      <c r="DC539" s="12"/>
      <c r="DD539" s="12"/>
      <c r="EX539" s="9"/>
      <c r="EY539" s="9"/>
      <c r="EZ539" s="9"/>
      <c r="FA539" s="15"/>
      <c r="FB539" s="14"/>
      <c r="FC539" s="10"/>
      <c r="FD539" s="10"/>
      <c r="FE539" s="10"/>
      <c r="FF539" s="10"/>
    </row>
    <row r="540" spans="36:162" x14ac:dyDescent="0.25">
      <c r="AJ540" s="12"/>
      <c r="AK540" s="12"/>
      <c r="AQ540" s="12"/>
      <c r="AR540" s="12"/>
      <c r="AU540" s="12"/>
      <c r="AV540" s="12"/>
      <c r="AX540" s="12"/>
      <c r="AY540" s="12"/>
      <c r="BA540" s="12"/>
      <c r="BB540" s="12"/>
      <c r="BD540" s="12"/>
      <c r="BE540" s="12"/>
      <c r="BG540" s="12"/>
      <c r="BH540" s="12"/>
      <c r="BJ540" s="12"/>
      <c r="BK540" s="12"/>
      <c r="BM540" s="12"/>
      <c r="BN540" s="12"/>
      <c r="BQ540" s="12"/>
      <c r="BR540" s="12"/>
      <c r="BU540" s="12"/>
      <c r="BV540" s="12"/>
      <c r="BY540" s="12"/>
      <c r="BZ540" s="12"/>
      <c r="CC540" s="12"/>
      <c r="CD540" s="12"/>
      <c r="CG540" s="12"/>
      <c r="CH540" s="12"/>
      <c r="CJ540" s="12"/>
      <c r="CK540" s="12"/>
      <c r="CN540" s="12"/>
      <c r="CO540" s="12"/>
      <c r="CV540" s="12"/>
      <c r="CW540" s="12"/>
      <c r="CZ540" s="12"/>
      <c r="DA540" s="12"/>
      <c r="DC540" s="12"/>
      <c r="DD540" s="12"/>
      <c r="EX540" s="9"/>
      <c r="EY540" s="9"/>
      <c r="EZ540" s="9"/>
      <c r="FA540" s="15"/>
      <c r="FB540" s="14"/>
      <c r="FC540" s="10"/>
      <c r="FD540" s="10"/>
      <c r="FE540" s="10"/>
      <c r="FF540" s="10"/>
    </row>
    <row r="541" spans="36:162" x14ac:dyDescent="0.25">
      <c r="AJ541" s="12"/>
      <c r="AK541" s="12"/>
      <c r="AQ541" s="12"/>
      <c r="AR541" s="12"/>
      <c r="AU541" s="12"/>
      <c r="AV541" s="12"/>
      <c r="AX541" s="12"/>
      <c r="AY541" s="12"/>
      <c r="BA541" s="12"/>
      <c r="BB541" s="12"/>
      <c r="BD541" s="12"/>
      <c r="BE541" s="12"/>
      <c r="BG541" s="12"/>
      <c r="BH541" s="12"/>
      <c r="BJ541" s="12"/>
      <c r="BK541" s="12"/>
      <c r="BM541" s="12"/>
      <c r="BN541" s="12"/>
      <c r="BQ541" s="12"/>
      <c r="BR541" s="12"/>
      <c r="BU541" s="12"/>
      <c r="BV541" s="12"/>
      <c r="BY541" s="12"/>
      <c r="BZ541" s="12"/>
      <c r="CC541" s="12"/>
      <c r="CD541" s="12"/>
      <c r="CG541" s="12"/>
      <c r="CH541" s="12"/>
      <c r="CJ541" s="12"/>
      <c r="CK541" s="12"/>
      <c r="CN541" s="12"/>
      <c r="CO541" s="12"/>
      <c r="CV541" s="12"/>
      <c r="CW541" s="12"/>
      <c r="CZ541" s="12"/>
      <c r="DA541" s="12"/>
      <c r="DC541" s="12"/>
      <c r="DD541" s="12"/>
      <c r="EX541" s="9"/>
      <c r="EY541" s="9"/>
      <c r="EZ541" s="9"/>
      <c r="FA541" s="15"/>
      <c r="FB541" s="14"/>
      <c r="FC541" s="10"/>
      <c r="FD541" s="10"/>
      <c r="FE541" s="10"/>
      <c r="FF541" s="10"/>
    </row>
    <row r="542" spans="36:162" x14ac:dyDescent="0.25">
      <c r="AJ542" s="12"/>
      <c r="AK542" s="12"/>
      <c r="AQ542" s="12"/>
      <c r="AR542" s="12"/>
      <c r="AU542" s="12"/>
      <c r="AV542" s="12"/>
      <c r="AX542" s="12"/>
      <c r="AY542" s="12"/>
      <c r="BA542" s="12"/>
      <c r="BB542" s="12"/>
      <c r="BD542" s="12"/>
      <c r="BE542" s="12"/>
      <c r="BG542" s="12"/>
      <c r="BH542" s="12"/>
      <c r="BJ542" s="12"/>
      <c r="BK542" s="12"/>
      <c r="BM542" s="12"/>
      <c r="BN542" s="12"/>
      <c r="BQ542" s="12"/>
      <c r="BR542" s="12"/>
      <c r="BU542" s="12"/>
      <c r="BV542" s="12"/>
      <c r="BY542" s="12"/>
      <c r="BZ542" s="12"/>
      <c r="CC542" s="12"/>
      <c r="CD542" s="12"/>
      <c r="CG542" s="12"/>
      <c r="CH542" s="12"/>
      <c r="CJ542" s="12"/>
      <c r="CK542" s="12"/>
      <c r="CN542" s="12"/>
      <c r="CO542" s="12"/>
      <c r="CV542" s="12"/>
      <c r="CW542" s="12"/>
      <c r="CZ542" s="12"/>
      <c r="DA542" s="12"/>
      <c r="DC542" s="12"/>
      <c r="DD542" s="12"/>
      <c r="EX542" s="9"/>
      <c r="EY542" s="9"/>
      <c r="EZ542" s="9"/>
      <c r="FA542" s="15"/>
      <c r="FB542" s="14"/>
      <c r="FC542" s="10"/>
      <c r="FD542" s="10"/>
      <c r="FE542" s="10"/>
      <c r="FF542" s="10"/>
    </row>
    <row r="543" spans="36:162" x14ac:dyDescent="0.25">
      <c r="AJ543" s="12"/>
      <c r="AK543" s="12"/>
      <c r="AQ543" s="12"/>
      <c r="AR543" s="12"/>
      <c r="AU543" s="12"/>
      <c r="AV543" s="12"/>
      <c r="AX543" s="12"/>
      <c r="AY543" s="12"/>
      <c r="BA543" s="12"/>
      <c r="BB543" s="12"/>
      <c r="BD543" s="12"/>
      <c r="BE543" s="12"/>
      <c r="BG543" s="12"/>
      <c r="BH543" s="12"/>
      <c r="BJ543" s="12"/>
      <c r="BK543" s="12"/>
      <c r="BM543" s="12"/>
      <c r="BN543" s="12"/>
      <c r="BQ543" s="12"/>
      <c r="BR543" s="12"/>
      <c r="BU543" s="12"/>
      <c r="BV543" s="12"/>
      <c r="BY543" s="12"/>
      <c r="BZ543" s="12"/>
      <c r="CC543" s="12"/>
      <c r="CD543" s="12"/>
      <c r="CG543" s="12"/>
      <c r="CH543" s="12"/>
      <c r="CJ543" s="12"/>
      <c r="CK543" s="12"/>
      <c r="CN543" s="12"/>
      <c r="CO543" s="12"/>
      <c r="CV543" s="12"/>
      <c r="CW543" s="12"/>
      <c r="CZ543" s="12"/>
      <c r="DA543" s="12"/>
      <c r="DC543" s="12"/>
      <c r="DD543" s="12"/>
      <c r="EX543" s="9"/>
      <c r="EY543" s="9"/>
      <c r="EZ543" s="9"/>
      <c r="FA543" s="15"/>
      <c r="FB543" s="14"/>
      <c r="FC543" s="10"/>
      <c r="FD543" s="10"/>
      <c r="FE543" s="10"/>
      <c r="FF543" s="10"/>
    </row>
    <row r="544" spans="36:162" x14ac:dyDescent="0.25">
      <c r="AJ544" s="12"/>
      <c r="AK544" s="12"/>
      <c r="AQ544" s="12"/>
      <c r="AR544" s="12"/>
      <c r="AU544" s="12"/>
      <c r="AV544" s="12"/>
      <c r="AX544" s="12"/>
      <c r="AY544" s="12"/>
      <c r="BA544" s="12"/>
      <c r="BB544" s="12"/>
      <c r="BD544" s="12"/>
      <c r="BE544" s="12"/>
      <c r="BG544" s="12"/>
      <c r="BH544" s="12"/>
      <c r="BJ544" s="12"/>
      <c r="BK544" s="12"/>
      <c r="BM544" s="12"/>
      <c r="BN544" s="12"/>
      <c r="BQ544" s="12"/>
      <c r="BR544" s="12"/>
      <c r="BU544" s="12"/>
      <c r="BV544" s="12"/>
      <c r="BY544" s="12"/>
      <c r="BZ544" s="12"/>
      <c r="CC544" s="12"/>
      <c r="CD544" s="12"/>
      <c r="CG544" s="12"/>
      <c r="CH544" s="12"/>
      <c r="CJ544" s="12"/>
      <c r="CK544" s="12"/>
      <c r="CN544" s="12"/>
      <c r="CO544" s="12"/>
      <c r="CV544" s="12"/>
      <c r="CW544" s="12"/>
      <c r="CZ544" s="12"/>
      <c r="DA544" s="12"/>
      <c r="DC544" s="12"/>
      <c r="DD544" s="12"/>
      <c r="EX544" s="9"/>
      <c r="EY544" s="9"/>
      <c r="EZ544" s="9"/>
      <c r="FA544" s="15"/>
      <c r="FB544" s="14"/>
      <c r="FC544" s="10"/>
      <c r="FD544" s="10"/>
      <c r="FE544" s="10"/>
      <c r="FF544" s="10"/>
    </row>
    <row r="545" spans="36:162" x14ac:dyDescent="0.25">
      <c r="AJ545" s="12"/>
      <c r="AK545" s="12"/>
      <c r="AQ545" s="12"/>
      <c r="AR545" s="12"/>
      <c r="AU545" s="12"/>
      <c r="AV545" s="12"/>
      <c r="AX545" s="12"/>
      <c r="AY545" s="12"/>
      <c r="BA545" s="12"/>
      <c r="BB545" s="12"/>
      <c r="BD545" s="12"/>
      <c r="BE545" s="12"/>
      <c r="BG545" s="12"/>
      <c r="BH545" s="12"/>
      <c r="BJ545" s="12"/>
      <c r="BK545" s="12"/>
      <c r="BM545" s="12"/>
      <c r="BN545" s="12"/>
      <c r="BQ545" s="12"/>
      <c r="BR545" s="12"/>
      <c r="BU545" s="12"/>
      <c r="BV545" s="12"/>
      <c r="BY545" s="12"/>
      <c r="BZ545" s="12"/>
      <c r="CC545" s="12"/>
      <c r="CD545" s="12"/>
      <c r="CG545" s="12"/>
      <c r="CH545" s="12"/>
      <c r="CJ545" s="12"/>
      <c r="CK545" s="12"/>
      <c r="CN545" s="12"/>
      <c r="CO545" s="12"/>
      <c r="CV545" s="12"/>
      <c r="CW545" s="12"/>
      <c r="CZ545" s="12"/>
      <c r="DA545" s="12"/>
      <c r="DC545" s="12"/>
      <c r="DD545" s="12"/>
      <c r="EX545" s="9"/>
      <c r="EY545" s="9"/>
      <c r="EZ545" s="9"/>
      <c r="FA545" s="15"/>
      <c r="FB545" s="14"/>
      <c r="FC545" s="10"/>
      <c r="FD545" s="10"/>
      <c r="FE545" s="10"/>
      <c r="FF545" s="10"/>
    </row>
    <row r="546" spans="36:162" x14ac:dyDescent="0.25">
      <c r="AJ546" s="12"/>
      <c r="AK546" s="12"/>
      <c r="AQ546" s="12"/>
      <c r="AR546" s="12"/>
      <c r="AU546" s="12"/>
      <c r="AV546" s="12"/>
      <c r="AX546" s="12"/>
      <c r="AY546" s="12"/>
      <c r="BA546" s="12"/>
      <c r="BB546" s="12"/>
      <c r="BD546" s="12"/>
      <c r="BE546" s="12"/>
      <c r="BG546" s="12"/>
      <c r="BH546" s="12"/>
      <c r="BJ546" s="12"/>
      <c r="BK546" s="12"/>
      <c r="BM546" s="12"/>
      <c r="BN546" s="12"/>
      <c r="BQ546" s="12"/>
      <c r="BR546" s="12"/>
      <c r="BU546" s="12"/>
      <c r="BV546" s="12"/>
      <c r="BY546" s="12"/>
      <c r="BZ546" s="12"/>
      <c r="CC546" s="12"/>
      <c r="CD546" s="12"/>
      <c r="CG546" s="12"/>
      <c r="CH546" s="12"/>
      <c r="CJ546" s="12"/>
      <c r="CK546" s="12"/>
      <c r="CN546" s="12"/>
      <c r="CO546" s="12"/>
      <c r="CV546" s="12"/>
      <c r="CW546" s="12"/>
      <c r="CZ546" s="12"/>
      <c r="DA546" s="12"/>
      <c r="DC546" s="12"/>
      <c r="DD546" s="12"/>
      <c r="EX546" s="9"/>
      <c r="EY546" s="9"/>
      <c r="EZ546" s="9"/>
      <c r="FA546" s="15"/>
      <c r="FB546" s="14"/>
      <c r="FC546" s="10"/>
      <c r="FD546" s="10"/>
      <c r="FE546" s="10"/>
      <c r="FF546" s="10"/>
    </row>
    <row r="547" spans="36:162" x14ac:dyDescent="0.25">
      <c r="AJ547" s="12"/>
      <c r="AK547" s="12"/>
      <c r="AQ547" s="12"/>
      <c r="AR547" s="12"/>
      <c r="AU547" s="12"/>
      <c r="AV547" s="12"/>
      <c r="AX547" s="12"/>
      <c r="AY547" s="12"/>
      <c r="BA547" s="12"/>
      <c r="BB547" s="12"/>
      <c r="BD547" s="12"/>
      <c r="BE547" s="12"/>
      <c r="BG547" s="12"/>
      <c r="BH547" s="12"/>
      <c r="BJ547" s="12"/>
      <c r="BK547" s="12"/>
      <c r="BM547" s="12"/>
      <c r="BN547" s="12"/>
      <c r="BQ547" s="12"/>
      <c r="BR547" s="12"/>
      <c r="BU547" s="12"/>
      <c r="BV547" s="12"/>
      <c r="BY547" s="12"/>
      <c r="BZ547" s="12"/>
      <c r="CC547" s="12"/>
      <c r="CD547" s="12"/>
      <c r="CG547" s="12"/>
      <c r="CH547" s="12"/>
      <c r="CJ547" s="12"/>
      <c r="CK547" s="12"/>
      <c r="CN547" s="12"/>
      <c r="CO547" s="12"/>
      <c r="CV547" s="12"/>
      <c r="CW547" s="12"/>
      <c r="CZ547" s="12"/>
      <c r="DA547" s="12"/>
      <c r="DC547" s="12"/>
      <c r="DD547" s="12"/>
      <c r="EX547" s="9"/>
      <c r="EY547" s="9"/>
      <c r="EZ547" s="9"/>
      <c r="FA547" s="15"/>
      <c r="FB547" s="14"/>
      <c r="FC547" s="10"/>
      <c r="FD547" s="10"/>
      <c r="FE547" s="10"/>
      <c r="FF547" s="10"/>
    </row>
    <row r="548" spans="36:162" x14ac:dyDescent="0.25">
      <c r="AJ548" s="12"/>
      <c r="AK548" s="12"/>
      <c r="AQ548" s="12"/>
      <c r="AR548" s="12"/>
      <c r="AU548" s="12"/>
      <c r="AV548" s="12"/>
      <c r="AX548" s="12"/>
      <c r="AY548" s="12"/>
      <c r="BA548" s="12"/>
      <c r="BB548" s="12"/>
      <c r="BD548" s="12"/>
      <c r="BE548" s="12"/>
      <c r="BG548" s="12"/>
      <c r="BH548" s="12"/>
      <c r="BJ548" s="12"/>
      <c r="BK548" s="12"/>
      <c r="BM548" s="12"/>
      <c r="BN548" s="12"/>
      <c r="BQ548" s="12"/>
      <c r="BR548" s="12"/>
      <c r="BU548" s="12"/>
      <c r="BV548" s="12"/>
      <c r="BY548" s="12"/>
      <c r="BZ548" s="12"/>
      <c r="CC548" s="12"/>
      <c r="CD548" s="12"/>
      <c r="CG548" s="12"/>
      <c r="CH548" s="12"/>
      <c r="CJ548" s="12"/>
      <c r="CK548" s="12"/>
      <c r="CN548" s="12"/>
      <c r="CO548" s="12"/>
      <c r="CV548" s="12"/>
      <c r="CW548" s="12"/>
      <c r="CZ548" s="12"/>
      <c r="DA548" s="12"/>
      <c r="DC548" s="12"/>
      <c r="DD548" s="12"/>
      <c r="EX548" s="9"/>
      <c r="EY548" s="9"/>
      <c r="EZ548" s="9"/>
      <c r="FA548" s="15"/>
      <c r="FB548" s="14"/>
      <c r="FC548" s="10"/>
      <c r="FD548" s="10"/>
      <c r="FE548" s="10"/>
      <c r="FF548" s="10"/>
    </row>
    <row r="549" spans="36:162" x14ac:dyDescent="0.25">
      <c r="AJ549" s="12"/>
      <c r="AK549" s="12"/>
      <c r="AQ549" s="12"/>
      <c r="AR549" s="12"/>
      <c r="AU549" s="12"/>
      <c r="AV549" s="12"/>
      <c r="AX549" s="12"/>
      <c r="AY549" s="12"/>
      <c r="BA549" s="12"/>
      <c r="BB549" s="12"/>
      <c r="BD549" s="12"/>
      <c r="BE549" s="12"/>
      <c r="BG549" s="12"/>
      <c r="BH549" s="12"/>
      <c r="BJ549" s="12"/>
      <c r="BK549" s="12"/>
      <c r="BM549" s="12"/>
      <c r="BN549" s="12"/>
      <c r="BQ549" s="12"/>
      <c r="BR549" s="12"/>
      <c r="BU549" s="12"/>
      <c r="BV549" s="12"/>
      <c r="BY549" s="12"/>
      <c r="BZ549" s="12"/>
      <c r="CC549" s="12"/>
      <c r="CD549" s="12"/>
      <c r="CG549" s="12"/>
      <c r="CH549" s="12"/>
      <c r="CJ549" s="12"/>
      <c r="CK549" s="12"/>
      <c r="CN549" s="12"/>
      <c r="CO549" s="12"/>
      <c r="CV549" s="12"/>
      <c r="CW549" s="12"/>
      <c r="CZ549" s="12"/>
      <c r="DA549" s="12"/>
      <c r="DC549" s="12"/>
      <c r="DD549" s="12"/>
      <c r="EX549" s="9"/>
      <c r="EY549" s="9"/>
      <c r="EZ549" s="9"/>
      <c r="FA549" s="15"/>
      <c r="FB549" s="14"/>
      <c r="FC549" s="10"/>
      <c r="FD549" s="10"/>
      <c r="FE549" s="10"/>
      <c r="FF549" s="10"/>
    </row>
    <row r="550" spans="36:162" x14ac:dyDescent="0.25">
      <c r="AJ550" s="12"/>
      <c r="AK550" s="12"/>
      <c r="AQ550" s="12"/>
      <c r="AR550" s="12"/>
      <c r="AU550" s="12"/>
      <c r="AV550" s="12"/>
      <c r="AX550" s="12"/>
      <c r="AY550" s="12"/>
      <c r="BA550" s="12"/>
      <c r="BB550" s="12"/>
      <c r="BD550" s="12"/>
      <c r="BE550" s="12"/>
      <c r="BG550" s="12"/>
      <c r="BH550" s="12"/>
      <c r="BJ550" s="12"/>
      <c r="BK550" s="12"/>
      <c r="BM550" s="12"/>
      <c r="BN550" s="12"/>
      <c r="BQ550" s="12"/>
      <c r="BR550" s="12"/>
      <c r="BU550" s="12"/>
      <c r="BV550" s="12"/>
      <c r="BY550" s="12"/>
      <c r="BZ550" s="12"/>
      <c r="CC550" s="12"/>
      <c r="CD550" s="12"/>
      <c r="CG550" s="12"/>
      <c r="CH550" s="12"/>
      <c r="CJ550" s="12"/>
      <c r="CK550" s="12"/>
      <c r="CN550" s="12"/>
      <c r="CO550" s="12"/>
      <c r="CV550" s="12"/>
      <c r="CW550" s="12"/>
      <c r="CZ550" s="12"/>
      <c r="DA550" s="12"/>
      <c r="DC550" s="12"/>
      <c r="DD550" s="12"/>
      <c r="EX550" s="9"/>
      <c r="EY550" s="9"/>
      <c r="EZ550" s="9"/>
      <c r="FA550" s="15"/>
      <c r="FB550" s="14"/>
      <c r="FC550" s="10"/>
      <c r="FD550" s="10"/>
      <c r="FE550" s="10"/>
      <c r="FF550" s="10"/>
    </row>
    <row r="551" spans="36:162" x14ac:dyDescent="0.25">
      <c r="AJ551" s="12"/>
      <c r="AK551" s="12"/>
      <c r="AQ551" s="12"/>
      <c r="AR551" s="12"/>
      <c r="AU551" s="12"/>
      <c r="AV551" s="12"/>
      <c r="AX551" s="12"/>
      <c r="AY551" s="12"/>
      <c r="BA551" s="12"/>
      <c r="BB551" s="12"/>
      <c r="BD551" s="12"/>
      <c r="BE551" s="12"/>
      <c r="BG551" s="12"/>
      <c r="BH551" s="12"/>
      <c r="BJ551" s="12"/>
      <c r="BK551" s="12"/>
      <c r="BM551" s="12"/>
      <c r="BN551" s="12"/>
      <c r="BQ551" s="12"/>
      <c r="BR551" s="12"/>
      <c r="BU551" s="12"/>
      <c r="BV551" s="12"/>
      <c r="BY551" s="12"/>
      <c r="BZ551" s="12"/>
      <c r="CC551" s="12"/>
      <c r="CD551" s="12"/>
      <c r="CG551" s="12"/>
      <c r="CH551" s="12"/>
      <c r="CJ551" s="12"/>
      <c r="CK551" s="12"/>
      <c r="CN551" s="12"/>
      <c r="CO551" s="12"/>
      <c r="CV551" s="12"/>
      <c r="CW551" s="12"/>
      <c r="CZ551" s="12"/>
      <c r="DA551" s="12"/>
      <c r="DC551" s="12"/>
      <c r="DD551" s="12"/>
      <c r="EX551" s="9"/>
      <c r="EY551" s="9"/>
      <c r="EZ551" s="9"/>
      <c r="FA551" s="15"/>
      <c r="FB551" s="14"/>
      <c r="FC551" s="10"/>
      <c r="FD551" s="10"/>
      <c r="FE551" s="10"/>
      <c r="FF551" s="10"/>
    </row>
    <row r="552" spans="36:162" x14ac:dyDescent="0.25">
      <c r="AJ552" s="12"/>
      <c r="AK552" s="12"/>
      <c r="AQ552" s="12"/>
      <c r="AR552" s="12"/>
      <c r="AU552" s="12"/>
      <c r="AV552" s="12"/>
      <c r="AX552" s="12"/>
      <c r="AY552" s="12"/>
      <c r="BA552" s="12"/>
      <c r="BB552" s="12"/>
      <c r="BD552" s="12"/>
      <c r="BE552" s="12"/>
      <c r="BG552" s="12"/>
      <c r="BH552" s="12"/>
      <c r="BJ552" s="12"/>
      <c r="BK552" s="12"/>
      <c r="BM552" s="12"/>
      <c r="BN552" s="12"/>
      <c r="BQ552" s="12"/>
      <c r="BR552" s="12"/>
      <c r="BU552" s="12"/>
      <c r="BV552" s="12"/>
      <c r="BY552" s="12"/>
      <c r="BZ552" s="12"/>
      <c r="CC552" s="12"/>
      <c r="CD552" s="12"/>
      <c r="CG552" s="12"/>
      <c r="CH552" s="12"/>
      <c r="CJ552" s="12"/>
      <c r="CK552" s="12"/>
      <c r="CN552" s="12"/>
      <c r="CO552" s="12"/>
      <c r="CV552" s="12"/>
      <c r="CW552" s="12"/>
      <c r="CZ552" s="12"/>
      <c r="DA552" s="12"/>
      <c r="DC552" s="12"/>
      <c r="DD552" s="12"/>
      <c r="EX552" s="9"/>
      <c r="EY552" s="9"/>
      <c r="EZ552" s="9"/>
      <c r="FA552" s="15"/>
      <c r="FB552" s="14"/>
      <c r="FC552" s="10"/>
      <c r="FD552" s="10"/>
      <c r="FE552" s="10"/>
      <c r="FF552" s="10"/>
    </row>
    <row r="553" spans="36:162" x14ac:dyDescent="0.25">
      <c r="AJ553" s="12"/>
      <c r="AK553" s="12"/>
      <c r="AQ553" s="12"/>
      <c r="AR553" s="12"/>
      <c r="AU553" s="12"/>
      <c r="AV553" s="12"/>
      <c r="AX553" s="12"/>
      <c r="AY553" s="12"/>
      <c r="BA553" s="12"/>
      <c r="BB553" s="12"/>
      <c r="BD553" s="12"/>
      <c r="BE553" s="12"/>
      <c r="BG553" s="12"/>
      <c r="BH553" s="12"/>
      <c r="BJ553" s="12"/>
      <c r="BK553" s="12"/>
      <c r="BM553" s="12"/>
      <c r="BN553" s="12"/>
      <c r="BQ553" s="12"/>
      <c r="BR553" s="12"/>
      <c r="BU553" s="12"/>
      <c r="BV553" s="12"/>
      <c r="BY553" s="12"/>
      <c r="BZ553" s="12"/>
      <c r="CC553" s="12"/>
      <c r="CD553" s="12"/>
      <c r="CG553" s="12"/>
      <c r="CH553" s="12"/>
      <c r="CJ553" s="12"/>
      <c r="CK553" s="12"/>
      <c r="CN553" s="12"/>
      <c r="CO553" s="12"/>
      <c r="CV553" s="12"/>
      <c r="CW553" s="12"/>
      <c r="CZ553" s="12"/>
      <c r="DA553" s="12"/>
      <c r="DC553" s="12"/>
      <c r="DD553" s="12"/>
      <c r="EX553" s="9"/>
      <c r="EY553" s="9"/>
      <c r="EZ553" s="9"/>
      <c r="FA553" s="15"/>
      <c r="FB553" s="14"/>
      <c r="FC553" s="10"/>
      <c r="FD553" s="10"/>
      <c r="FE553" s="10"/>
      <c r="FF553" s="10"/>
    </row>
    <row r="554" spans="36:162" x14ac:dyDescent="0.25">
      <c r="AJ554" s="12"/>
      <c r="AK554" s="12"/>
      <c r="AQ554" s="12"/>
      <c r="AR554" s="12"/>
      <c r="AU554" s="12"/>
      <c r="AV554" s="12"/>
      <c r="AX554" s="12"/>
      <c r="AY554" s="12"/>
      <c r="BA554" s="12"/>
      <c r="BB554" s="12"/>
      <c r="BD554" s="12"/>
      <c r="BE554" s="12"/>
      <c r="BG554" s="12"/>
      <c r="BH554" s="12"/>
      <c r="BJ554" s="12"/>
      <c r="BK554" s="12"/>
      <c r="BM554" s="12"/>
      <c r="BN554" s="12"/>
      <c r="BQ554" s="12"/>
      <c r="BR554" s="12"/>
      <c r="BU554" s="12"/>
      <c r="BV554" s="12"/>
      <c r="BY554" s="12"/>
      <c r="BZ554" s="12"/>
      <c r="CC554" s="12"/>
      <c r="CD554" s="12"/>
      <c r="CG554" s="12"/>
      <c r="CH554" s="12"/>
      <c r="CJ554" s="12"/>
      <c r="CK554" s="12"/>
      <c r="CN554" s="12"/>
      <c r="CO554" s="12"/>
      <c r="CV554" s="12"/>
      <c r="CW554" s="12"/>
      <c r="CZ554" s="12"/>
      <c r="DA554" s="12"/>
      <c r="DC554" s="12"/>
      <c r="DD554" s="12"/>
      <c r="EX554" s="9"/>
      <c r="EY554" s="9"/>
      <c r="EZ554" s="9"/>
      <c r="FA554" s="15"/>
      <c r="FB554" s="14"/>
      <c r="FC554" s="10"/>
      <c r="FD554" s="10"/>
      <c r="FE554" s="10"/>
      <c r="FF554" s="10"/>
    </row>
    <row r="555" spans="36:162" x14ac:dyDescent="0.25">
      <c r="AJ555" s="12"/>
      <c r="AK555" s="12"/>
      <c r="AQ555" s="12"/>
      <c r="AR555" s="12"/>
      <c r="AU555" s="12"/>
      <c r="AV555" s="12"/>
      <c r="AX555" s="12"/>
      <c r="AY555" s="12"/>
      <c r="BA555" s="12"/>
      <c r="BB555" s="12"/>
      <c r="BD555" s="12"/>
      <c r="BE555" s="12"/>
      <c r="BG555" s="12"/>
      <c r="BH555" s="12"/>
      <c r="BJ555" s="12"/>
      <c r="BK555" s="12"/>
      <c r="BM555" s="12"/>
      <c r="BN555" s="12"/>
      <c r="BQ555" s="12"/>
      <c r="BR555" s="12"/>
      <c r="BU555" s="12"/>
      <c r="BV555" s="12"/>
      <c r="BY555" s="12"/>
      <c r="BZ555" s="12"/>
      <c r="CC555" s="12"/>
      <c r="CD555" s="12"/>
      <c r="CG555" s="12"/>
      <c r="CH555" s="12"/>
      <c r="CJ555" s="12"/>
      <c r="CK555" s="12"/>
      <c r="CN555" s="12"/>
      <c r="CO555" s="12"/>
      <c r="CV555" s="12"/>
      <c r="CW555" s="12"/>
      <c r="CZ555" s="12"/>
      <c r="DA555" s="12"/>
      <c r="DC555" s="12"/>
      <c r="DD555" s="12"/>
      <c r="EX555" s="9"/>
      <c r="EY555" s="9"/>
      <c r="EZ555" s="9"/>
      <c r="FA555" s="15"/>
      <c r="FB555" s="14"/>
      <c r="FC555" s="10"/>
      <c r="FD555" s="10"/>
      <c r="FE555" s="10"/>
      <c r="FF555" s="10"/>
    </row>
    <row r="556" spans="36:162" x14ac:dyDescent="0.25">
      <c r="AJ556" s="12"/>
      <c r="AK556" s="12"/>
      <c r="AQ556" s="12"/>
      <c r="AR556" s="12"/>
      <c r="AU556" s="12"/>
      <c r="AV556" s="12"/>
      <c r="AX556" s="12"/>
      <c r="AY556" s="12"/>
      <c r="BA556" s="12"/>
      <c r="BB556" s="12"/>
      <c r="BD556" s="12"/>
      <c r="BE556" s="12"/>
      <c r="BG556" s="12"/>
      <c r="BH556" s="12"/>
      <c r="BJ556" s="12"/>
      <c r="BK556" s="12"/>
      <c r="BM556" s="12"/>
      <c r="BN556" s="12"/>
      <c r="BQ556" s="12"/>
      <c r="BR556" s="12"/>
      <c r="BU556" s="12"/>
      <c r="BV556" s="12"/>
      <c r="BY556" s="12"/>
      <c r="BZ556" s="12"/>
      <c r="CC556" s="12"/>
      <c r="CD556" s="12"/>
      <c r="CG556" s="12"/>
      <c r="CH556" s="12"/>
      <c r="CJ556" s="12"/>
      <c r="CK556" s="12"/>
      <c r="CN556" s="12"/>
      <c r="CO556" s="12"/>
      <c r="CV556" s="12"/>
      <c r="CW556" s="12"/>
      <c r="CZ556" s="12"/>
      <c r="DA556" s="12"/>
      <c r="DC556" s="12"/>
      <c r="DD556" s="12"/>
      <c r="EX556" s="9"/>
      <c r="EY556" s="9"/>
      <c r="EZ556" s="9"/>
      <c r="FA556" s="15"/>
      <c r="FB556" s="14"/>
      <c r="FC556" s="10"/>
      <c r="FD556" s="10"/>
      <c r="FE556" s="10"/>
      <c r="FF556" s="10"/>
    </row>
    <row r="557" spans="36:162" x14ac:dyDescent="0.25">
      <c r="AJ557" s="12"/>
      <c r="AK557" s="12"/>
      <c r="AQ557" s="12"/>
      <c r="AR557" s="12"/>
      <c r="AU557" s="12"/>
      <c r="AV557" s="12"/>
      <c r="AX557" s="12"/>
      <c r="AY557" s="12"/>
      <c r="BA557" s="12"/>
      <c r="BB557" s="12"/>
      <c r="BD557" s="12"/>
      <c r="BE557" s="12"/>
      <c r="BG557" s="12"/>
      <c r="BH557" s="12"/>
      <c r="BJ557" s="12"/>
      <c r="BK557" s="12"/>
      <c r="BM557" s="12"/>
      <c r="BN557" s="12"/>
      <c r="BQ557" s="12"/>
      <c r="BR557" s="12"/>
      <c r="BU557" s="12"/>
      <c r="BV557" s="12"/>
      <c r="BY557" s="12"/>
      <c r="BZ557" s="12"/>
      <c r="CC557" s="12"/>
      <c r="CD557" s="12"/>
      <c r="CG557" s="12"/>
      <c r="CH557" s="12"/>
      <c r="CJ557" s="12"/>
      <c r="CK557" s="12"/>
      <c r="CN557" s="12"/>
      <c r="CO557" s="12"/>
      <c r="CV557" s="12"/>
      <c r="CW557" s="12"/>
      <c r="CZ557" s="12"/>
      <c r="DA557" s="12"/>
      <c r="DC557" s="12"/>
      <c r="DD557" s="12"/>
      <c r="EX557" s="9"/>
      <c r="EY557" s="9"/>
      <c r="EZ557" s="9"/>
      <c r="FA557" s="15"/>
      <c r="FB557" s="14"/>
      <c r="FC557" s="10"/>
      <c r="FD557" s="10"/>
      <c r="FE557" s="10"/>
      <c r="FF557" s="10"/>
    </row>
    <row r="558" spans="36:162" x14ac:dyDescent="0.25">
      <c r="AJ558" s="12"/>
      <c r="AK558" s="12"/>
      <c r="AQ558" s="12"/>
      <c r="AR558" s="12"/>
      <c r="AU558" s="12"/>
      <c r="AV558" s="12"/>
      <c r="AX558" s="12"/>
      <c r="AY558" s="12"/>
      <c r="BA558" s="12"/>
      <c r="BB558" s="12"/>
      <c r="BD558" s="12"/>
      <c r="BE558" s="12"/>
      <c r="BG558" s="12"/>
      <c r="BH558" s="12"/>
      <c r="BJ558" s="12"/>
      <c r="BK558" s="12"/>
      <c r="BM558" s="12"/>
      <c r="BN558" s="12"/>
      <c r="BQ558" s="12"/>
      <c r="BR558" s="12"/>
      <c r="BU558" s="12"/>
      <c r="BV558" s="12"/>
      <c r="BY558" s="12"/>
      <c r="BZ558" s="12"/>
      <c r="CC558" s="12"/>
      <c r="CD558" s="12"/>
      <c r="CG558" s="12"/>
      <c r="CH558" s="12"/>
      <c r="CJ558" s="12"/>
      <c r="CK558" s="12"/>
      <c r="CN558" s="12"/>
      <c r="CO558" s="12"/>
      <c r="CV558" s="12"/>
      <c r="CW558" s="12"/>
      <c r="CZ558" s="12"/>
      <c r="DA558" s="12"/>
      <c r="DC558" s="12"/>
      <c r="DD558" s="12"/>
      <c r="EX558" s="9"/>
      <c r="EY558" s="9"/>
      <c r="EZ558" s="9"/>
      <c r="FA558" s="15"/>
      <c r="FB558" s="14"/>
      <c r="FC558" s="10"/>
      <c r="FD558" s="10"/>
      <c r="FE558" s="10"/>
      <c r="FF558" s="10"/>
    </row>
    <row r="559" spans="36:162" x14ac:dyDescent="0.25">
      <c r="AJ559" s="12"/>
      <c r="AK559" s="12"/>
      <c r="AQ559" s="12"/>
      <c r="AR559" s="12"/>
      <c r="AU559" s="12"/>
      <c r="AV559" s="12"/>
      <c r="AX559" s="12"/>
      <c r="AY559" s="12"/>
      <c r="BA559" s="12"/>
      <c r="BB559" s="12"/>
      <c r="BD559" s="12"/>
      <c r="BE559" s="12"/>
      <c r="BG559" s="12"/>
      <c r="BH559" s="12"/>
      <c r="BJ559" s="12"/>
      <c r="BK559" s="12"/>
      <c r="BM559" s="12"/>
      <c r="BN559" s="12"/>
      <c r="BQ559" s="12"/>
      <c r="BR559" s="12"/>
      <c r="BU559" s="12"/>
      <c r="BV559" s="12"/>
      <c r="BY559" s="12"/>
      <c r="BZ559" s="12"/>
      <c r="CC559" s="12"/>
      <c r="CD559" s="12"/>
      <c r="CG559" s="12"/>
      <c r="CH559" s="12"/>
      <c r="CJ559" s="12"/>
      <c r="CK559" s="12"/>
      <c r="CN559" s="12"/>
      <c r="CO559" s="12"/>
      <c r="CV559" s="12"/>
      <c r="CW559" s="12"/>
      <c r="CZ559" s="12"/>
      <c r="DA559" s="12"/>
      <c r="DC559" s="12"/>
      <c r="DD559" s="12"/>
      <c r="EX559" s="9"/>
      <c r="EY559" s="9"/>
      <c r="EZ559" s="9"/>
      <c r="FA559" s="15"/>
      <c r="FB559" s="14"/>
      <c r="FC559" s="10"/>
      <c r="FD559" s="10"/>
      <c r="FE559" s="10"/>
      <c r="FF559" s="10"/>
    </row>
    <row r="560" spans="36:162" x14ac:dyDescent="0.25">
      <c r="AJ560" s="12"/>
      <c r="AK560" s="12"/>
      <c r="AQ560" s="12"/>
      <c r="AR560" s="12"/>
      <c r="AU560" s="12"/>
      <c r="AV560" s="12"/>
      <c r="AX560" s="12"/>
      <c r="AY560" s="12"/>
      <c r="BA560" s="12"/>
      <c r="BB560" s="12"/>
      <c r="BD560" s="12"/>
      <c r="BE560" s="12"/>
      <c r="BG560" s="12"/>
      <c r="BH560" s="12"/>
      <c r="BJ560" s="12"/>
      <c r="BK560" s="12"/>
      <c r="BM560" s="12"/>
      <c r="BN560" s="12"/>
      <c r="BQ560" s="12"/>
      <c r="BR560" s="12"/>
      <c r="BU560" s="12"/>
      <c r="BV560" s="12"/>
      <c r="BY560" s="12"/>
      <c r="BZ560" s="12"/>
      <c r="CC560" s="12"/>
      <c r="CD560" s="12"/>
      <c r="CG560" s="12"/>
      <c r="CH560" s="12"/>
      <c r="CJ560" s="12"/>
      <c r="CK560" s="12"/>
      <c r="CN560" s="12"/>
      <c r="CO560" s="12"/>
      <c r="CV560" s="12"/>
      <c r="CW560" s="12"/>
      <c r="CZ560" s="12"/>
      <c r="DA560" s="12"/>
      <c r="DC560" s="12"/>
      <c r="DD560" s="12"/>
      <c r="EX560" s="9"/>
      <c r="EY560" s="9"/>
      <c r="EZ560" s="9"/>
      <c r="FA560" s="15"/>
      <c r="FB560" s="14"/>
      <c r="FC560" s="10"/>
      <c r="FD560" s="10"/>
      <c r="FE560" s="10"/>
      <c r="FF560" s="10"/>
    </row>
    <row r="561" spans="36:162" x14ac:dyDescent="0.25">
      <c r="AJ561" s="12"/>
      <c r="AK561" s="12"/>
      <c r="AQ561" s="12"/>
      <c r="AR561" s="12"/>
      <c r="AU561" s="12"/>
      <c r="AV561" s="12"/>
      <c r="AX561" s="12"/>
      <c r="AY561" s="12"/>
      <c r="BA561" s="12"/>
      <c r="BB561" s="12"/>
      <c r="BD561" s="12"/>
      <c r="BE561" s="12"/>
      <c r="BG561" s="12"/>
      <c r="BH561" s="12"/>
      <c r="BJ561" s="12"/>
      <c r="BK561" s="12"/>
      <c r="BM561" s="12"/>
      <c r="BN561" s="12"/>
      <c r="BQ561" s="12"/>
      <c r="BR561" s="12"/>
      <c r="BU561" s="12"/>
      <c r="BV561" s="12"/>
      <c r="BY561" s="12"/>
      <c r="BZ561" s="12"/>
      <c r="CC561" s="12"/>
      <c r="CD561" s="12"/>
      <c r="CG561" s="12"/>
      <c r="CH561" s="12"/>
      <c r="CJ561" s="12"/>
      <c r="CK561" s="12"/>
      <c r="CN561" s="12"/>
      <c r="CO561" s="12"/>
      <c r="CV561" s="12"/>
      <c r="CW561" s="12"/>
      <c r="CZ561" s="12"/>
      <c r="DA561" s="12"/>
      <c r="DC561" s="12"/>
      <c r="DD561" s="12"/>
      <c r="EX561" s="9"/>
      <c r="EY561" s="9"/>
      <c r="EZ561" s="9"/>
      <c r="FA561" s="15"/>
      <c r="FB561" s="14"/>
      <c r="FC561" s="10"/>
      <c r="FD561" s="10"/>
      <c r="FE561" s="10"/>
      <c r="FF561" s="10"/>
    </row>
    <row r="562" spans="36:162" x14ac:dyDescent="0.25">
      <c r="AJ562" s="12"/>
      <c r="AK562" s="12"/>
      <c r="AQ562" s="12"/>
      <c r="AR562" s="12"/>
      <c r="AU562" s="12"/>
      <c r="AV562" s="12"/>
      <c r="AX562" s="12"/>
      <c r="AY562" s="12"/>
      <c r="BA562" s="12"/>
      <c r="BB562" s="12"/>
      <c r="BD562" s="12"/>
      <c r="BE562" s="12"/>
      <c r="BG562" s="12"/>
      <c r="BH562" s="12"/>
      <c r="BJ562" s="12"/>
      <c r="BK562" s="12"/>
      <c r="BM562" s="12"/>
      <c r="BN562" s="12"/>
      <c r="BQ562" s="12"/>
      <c r="BR562" s="12"/>
      <c r="BU562" s="12"/>
      <c r="BV562" s="12"/>
      <c r="BY562" s="12"/>
      <c r="BZ562" s="12"/>
      <c r="CC562" s="12"/>
      <c r="CD562" s="12"/>
      <c r="CG562" s="12"/>
      <c r="CH562" s="12"/>
      <c r="CJ562" s="12"/>
      <c r="CK562" s="12"/>
      <c r="CN562" s="12"/>
      <c r="CO562" s="12"/>
      <c r="CV562" s="12"/>
      <c r="CW562" s="12"/>
      <c r="CZ562" s="12"/>
      <c r="DA562" s="12"/>
      <c r="DC562" s="12"/>
      <c r="DD562" s="12"/>
      <c r="EX562" s="9"/>
      <c r="EY562" s="9"/>
      <c r="EZ562" s="9"/>
      <c r="FA562" s="15"/>
      <c r="FB562" s="14"/>
      <c r="FC562" s="10"/>
      <c r="FD562" s="10"/>
      <c r="FE562" s="10"/>
      <c r="FF562" s="10"/>
    </row>
    <row r="563" spans="36:162" x14ac:dyDescent="0.25">
      <c r="AJ563" s="12"/>
      <c r="AK563" s="12"/>
      <c r="AQ563" s="12"/>
      <c r="AR563" s="12"/>
      <c r="AU563" s="12"/>
      <c r="AV563" s="12"/>
      <c r="AX563" s="12"/>
      <c r="AY563" s="12"/>
      <c r="BA563" s="12"/>
      <c r="BB563" s="12"/>
      <c r="BD563" s="12"/>
      <c r="BE563" s="12"/>
      <c r="BG563" s="12"/>
      <c r="BH563" s="12"/>
      <c r="BJ563" s="12"/>
      <c r="BK563" s="12"/>
      <c r="BM563" s="12"/>
      <c r="BN563" s="12"/>
      <c r="BQ563" s="12"/>
      <c r="BR563" s="12"/>
      <c r="BU563" s="12"/>
      <c r="BV563" s="12"/>
      <c r="BY563" s="12"/>
      <c r="BZ563" s="12"/>
      <c r="CC563" s="12"/>
      <c r="CD563" s="12"/>
      <c r="CG563" s="12"/>
      <c r="CH563" s="12"/>
      <c r="CJ563" s="12"/>
      <c r="CK563" s="12"/>
      <c r="CN563" s="12"/>
      <c r="CO563" s="12"/>
      <c r="CV563" s="12"/>
      <c r="CW563" s="12"/>
      <c r="CZ563" s="12"/>
      <c r="DA563" s="12"/>
      <c r="DC563" s="12"/>
      <c r="DD563" s="12"/>
      <c r="EX563" s="9"/>
      <c r="EY563" s="9"/>
      <c r="EZ563" s="9"/>
      <c r="FA563" s="15"/>
      <c r="FB563" s="14"/>
      <c r="FC563" s="10"/>
      <c r="FD563" s="10"/>
      <c r="FE563" s="10"/>
      <c r="FF563" s="10"/>
    </row>
    <row r="564" spans="36:162" x14ac:dyDescent="0.25">
      <c r="AJ564" s="12"/>
      <c r="AK564" s="12"/>
      <c r="AQ564" s="12"/>
      <c r="AR564" s="12"/>
      <c r="AU564" s="12"/>
      <c r="AV564" s="12"/>
      <c r="AX564" s="12"/>
      <c r="AY564" s="12"/>
      <c r="BA564" s="12"/>
      <c r="BB564" s="12"/>
      <c r="BD564" s="12"/>
      <c r="BE564" s="12"/>
      <c r="BG564" s="12"/>
      <c r="BH564" s="12"/>
      <c r="BJ564" s="12"/>
      <c r="BK564" s="12"/>
      <c r="BM564" s="12"/>
      <c r="BN564" s="12"/>
      <c r="BQ564" s="12"/>
      <c r="BR564" s="12"/>
      <c r="BU564" s="12"/>
      <c r="BV564" s="12"/>
      <c r="BY564" s="12"/>
      <c r="BZ564" s="12"/>
      <c r="CC564" s="12"/>
      <c r="CD564" s="12"/>
      <c r="CG564" s="12"/>
      <c r="CH564" s="12"/>
      <c r="CJ564" s="12"/>
      <c r="CK564" s="12"/>
      <c r="CN564" s="12"/>
      <c r="CO564" s="12"/>
      <c r="CV564" s="12"/>
      <c r="CW564" s="12"/>
      <c r="CZ564" s="12"/>
      <c r="DA564" s="12"/>
      <c r="DC564" s="12"/>
      <c r="DD564" s="12"/>
      <c r="EX564" s="9"/>
      <c r="EY564" s="9"/>
      <c r="EZ564" s="9"/>
      <c r="FA564" s="15"/>
      <c r="FB564" s="14"/>
      <c r="FC564" s="10"/>
      <c r="FD564" s="10"/>
      <c r="FE564" s="10"/>
      <c r="FF564" s="10"/>
    </row>
    <row r="565" spans="36:162" x14ac:dyDescent="0.25">
      <c r="AJ565" s="12"/>
      <c r="AK565" s="12"/>
      <c r="AQ565" s="12"/>
      <c r="AR565" s="12"/>
      <c r="AU565" s="12"/>
      <c r="AV565" s="12"/>
      <c r="AX565" s="12"/>
      <c r="AY565" s="12"/>
      <c r="BA565" s="12"/>
      <c r="BB565" s="12"/>
      <c r="BD565" s="12"/>
      <c r="BE565" s="12"/>
      <c r="BG565" s="12"/>
      <c r="BH565" s="12"/>
      <c r="BJ565" s="12"/>
      <c r="BK565" s="12"/>
      <c r="BM565" s="12"/>
      <c r="BN565" s="12"/>
      <c r="BQ565" s="12"/>
      <c r="BR565" s="12"/>
      <c r="BU565" s="12"/>
      <c r="BV565" s="12"/>
      <c r="BY565" s="12"/>
      <c r="BZ565" s="12"/>
      <c r="CC565" s="12"/>
      <c r="CD565" s="12"/>
      <c r="CG565" s="12"/>
      <c r="CH565" s="12"/>
      <c r="CJ565" s="12"/>
      <c r="CK565" s="12"/>
      <c r="CN565" s="12"/>
      <c r="CO565" s="12"/>
      <c r="CV565" s="12"/>
      <c r="CW565" s="12"/>
      <c r="CZ565" s="12"/>
      <c r="DA565" s="12"/>
      <c r="DC565" s="12"/>
      <c r="DD565" s="12"/>
      <c r="EX565" s="9"/>
      <c r="EY565" s="9"/>
      <c r="EZ565" s="9"/>
      <c r="FA565" s="15"/>
      <c r="FB565" s="14"/>
      <c r="FC565" s="10"/>
      <c r="FD565" s="10"/>
      <c r="FE565" s="10"/>
      <c r="FF565" s="10"/>
    </row>
    <row r="566" spans="36:162" x14ac:dyDescent="0.25">
      <c r="AJ566" s="12"/>
      <c r="AK566" s="12"/>
      <c r="AQ566" s="12"/>
      <c r="AR566" s="12"/>
      <c r="AU566" s="12"/>
      <c r="AV566" s="12"/>
      <c r="AX566" s="12"/>
      <c r="AY566" s="12"/>
      <c r="BA566" s="12"/>
      <c r="BB566" s="12"/>
      <c r="BD566" s="12"/>
      <c r="BE566" s="12"/>
      <c r="BG566" s="12"/>
      <c r="BH566" s="12"/>
      <c r="BJ566" s="12"/>
      <c r="BK566" s="12"/>
      <c r="BM566" s="12"/>
      <c r="BN566" s="12"/>
      <c r="BQ566" s="12"/>
      <c r="BR566" s="12"/>
      <c r="BU566" s="12"/>
      <c r="BV566" s="12"/>
      <c r="BY566" s="12"/>
      <c r="BZ566" s="12"/>
      <c r="CC566" s="12"/>
      <c r="CD566" s="12"/>
      <c r="CG566" s="12"/>
      <c r="CH566" s="12"/>
      <c r="CJ566" s="12"/>
      <c r="CK566" s="12"/>
      <c r="CN566" s="12"/>
      <c r="CO566" s="12"/>
      <c r="CV566" s="12"/>
      <c r="CW566" s="12"/>
      <c r="CZ566" s="12"/>
      <c r="DA566" s="12"/>
      <c r="DC566" s="12"/>
      <c r="DD566" s="12"/>
      <c r="EX566" s="9"/>
      <c r="EY566" s="9"/>
      <c r="EZ566" s="9"/>
      <c r="FA566" s="15"/>
      <c r="FB566" s="14"/>
      <c r="FC566" s="10"/>
      <c r="FD566" s="10"/>
      <c r="FE566" s="10"/>
      <c r="FF566" s="10"/>
    </row>
    <row r="567" spans="36:162" x14ac:dyDescent="0.25">
      <c r="AJ567" s="12"/>
      <c r="AK567" s="12"/>
      <c r="AQ567" s="12"/>
      <c r="AR567" s="12"/>
      <c r="AU567" s="12"/>
      <c r="AV567" s="12"/>
      <c r="AX567" s="12"/>
      <c r="AY567" s="12"/>
      <c r="BA567" s="12"/>
      <c r="BB567" s="12"/>
      <c r="BD567" s="12"/>
      <c r="BE567" s="12"/>
      <c r="BG567" s="12"/>
      <c r="BH567" s="12"/>
      <c r="BJ567" s="12"/>
      <c r="BK567" s="12"/>
      <c r="BM567" s="12"/>
      <c r="BN567" s="12"/>
      <c r="BQ567" s="12"/>
      <c r="BR567" s="12"/>
      <c r="BU567" s="12"/>
      <c r="BV567" s="12"/>
      <c r="BY567" s="12"/>
      <c r="BZ567" s="12"/>
      <c r="CC567" s="12"/>
      <c r="CD567" s="12"/>
      <c r="CG567" s="12"/>
      <c r="CH567" s="12"/>
      <c r="CJ567" s="12"/>
      <c r="CK567" s="12"/>
      <c r="CN567" s="12"/>
      <c r="CO567" s="12"/>
      <c r="CV567" s="12"/>
      <c r="CW567" s="12"/>
      <c r="CZ567" s="12"/>
      <c r="DA567" s="12"/>
      <c r="DC567" s="12"/>
      <c r="DD567" s="12"/>
      <c r="EX567" s="9"/>
      <c r="EY567" s="9"/>
      <c r="EZ567" s="9"/>
      <c r="FA567" s="15"/>
      <c r="FB567" s="14"/>
      <c r="FC567" s="10"/>
      <c r="FD567" s="10"/>
      <c r="FE567" s="10"/>
      <c r="FF567" s="10"/>
    </row>
    <row r="568" spans="36:162" x14ac:dyDescent="0.25">
      <c r="AJ568" s="12"/>
      <c r="AK568" s="12"/>
      <c r="AQ568" s="12"/>
      <c r="AR568" s="12"/>
      <c r="AU568" s="12"/>
      <c r="AV568" s="12"/>
      <c r="AX568" s="12"/>
      <c r="AY568" s="12"/>
      <c r="BA568" s="12"/>
      <c r="BB568" s="12"/>
      <c r="BD568" s="12"/>
      <c r="BE568" s="12"/>
      <c r="BG568" s="12"/>
      <c r="BH568" s="12"/>
      <c r="BJ568" s="12"/>
      <c r="BK568" s="12"/>
      <c r="BM568" s="12"/>
      <c r="BN568" s="12"/>
      <c r="BQ568" s="12"/>
      <c r="BR568" s="12"/>
      <c r="BU568" s="12"/>
      <c r="BV568" s="12"/>
      <c r="BY568" s="12"/>
      <c r="BZ568" s="12"/>
      <c r="CC568" s="12"/>
      <c r="CD568" s="12"/>
      <c r="CG568" s="12"/>
      <c r="CH568" s="12"/>
      <c r="CJ568" s="12"/>
      <c r="CK568" s="12"/>
      <c r="CN568" s="12"/>
      <c r="CO568" s="12"/>
      <c r="CV568" s="12"/>
      <c r="CW568" s="12"/>
      <c r="CZ568" s="12"/>
      <c r="DA568" s="12"/>
      <c r="DC568" s="12"/>
      <c r="DD568" s="12"/>
      <c r="EX568" s="9"/>
      <c r="EY568" s="9"/>
      <c r="EZ568" s="9"/>
      <c r="FA568" s="15"/>
      <c r="FB568" s="14"/>
      <c r="FC568" s="10"/>
      <c r="FD568" s="10"/>
      <c r="FE568" s="10"/>
      <c r="FF568" s="10"/>
    </row>
    <row r="569" spans="36:162" x14ac:dyDescent="0.25">
      <c r="AJ569" s="12"/>
      <c r="AK569" s="12"/>
      <c r="AQ569" s="12"/>
      <c r="AR569" s="12"/>
      <c r="AU569" s="12"/>
      <c r="AV569" s="12"/>
      <c r="AX569" s="12"/>
      <c r="AY569" s="12"/>
      <c r="BA569" s="12"/>
      <c r="BB569" s="12"/>
      <c r="BD569" s="12"/>
      <c r="BE569" s="12"/>
      <c r="BG569" s="12"/>
      <c r="BH569" s="12"/>
      <c r="BJ569" s="12"/>
      <c r="BK569" s="12"/>
      <c r="BM569" s="12"/>
      <c r="BN569" s="12"/>
      <c r="BQ569" s="12"/>
      <c r="BR569" s="12"/>
      <c r="BU569" s="12"/>
      <c r="BV569" s="12"/>
      <c r="BY569" s="12"/>
      <c r="BZ569" s="12"/>
      <c r="CC569" s="12"/>
      <c r="CD569" s="12"/>
      <c r="CG569" s="12"/>
      <c r="CH569" s="12"/>
      <c r="CJ569" s="12"/>
      <c r="CK569" s="12"/>
      <c r="CN569" s="12"/>
      <c r="CO569" s="12"/>
      <c r="CV569" s="12"/>
      <c r="CW569" s="12"/>
      <c r="CZ569" s="12"/>
      <c r="DA569" s="12"/>
      <c r="DC569" s="12"/>
      <c r="DD569" s="12"/>
      <c r="EX569" s="9"/>
      <c r="EY569" s="9"/>
      <c r="EZ569" s="9"/>
      <c r="FA569" s="15"/>
      <c r="FB569" s="14"/>
      <c r="FC569" s="10"/>
      <c r="FD569" s="10"/>
      <c r="FE569" s="10"/>
      <c r="FF569" s="10"/>
    </row>
    <row r="570" spans="36:162" x14ac:dyDescent="0.25">
      <c r="AJ570" s="12"/>
      <c r="AK570" s="12"/>
      <c r="AQ570" s="12"/>
      <c r="AR570" s="12"/>
      <c r="AU570" s="12"/>
      <c r="AV570" s="12"/>
      <c r="AX570" s="12"/>
      <c r="AY570" s="12"/>
      <c r="BA570" s="12"/>
      <c r="BB570" s="12"/>
      <c r="BD570" s="12"/>
      <c r="BE570" s="12"/>
      <c r="BG570" s="12"/>
      <c r="BH570" s="12"/>
      <c r="BJ570" s="12"/>
      <c r="BK570" s="12"/>
      <c r="BM570" s="12"/>
      <c r="BN570" s="12"/>
      <c r="BQ570" s="12"/>
      <c r="BR570" s="12"/>
      <c r="BU570" s="12"/>
      <c r="BV570" s="12"/>
      <c r="BY570" s="12"/>
      <c r="BZ570" s="12"/>
      <c r="CC570" s="12"/>
      <c r="CD570" s="12"/>
      <c r="CG570" s="12"/>
      <c r="CH570" s="12"/>
      <c r="CJ570" s="12"/>
      <c r="CK570" s="12"/>
      <c r="CN570" s="12"/>
      <c r="CO570" s="12"/>
      <c r="CV570" s="12"/>
      <c r="CW570" s="12"/>
      <c r="CZ570" s="12"/>
      <c r="DA570" s="12"/>
      <c r="DC570" s="12"/>
      <c r="DD570" s="12"/>
      <c r="EX570" s="9"/>
      <c r="EY570" s="9"/>
      <c r="EZ570" s="9"/>
      <c r="FA570" s="15"/>
      <c r="FB570" s="14"/>
      <c r="FC570" s="10"/>
      <c r="FD570" s="10"/>
      <c r="FE570" s="10"/>
      <c r="FF570" s="10"/>
    </row>
    <row r="571" spans="36:162" x14ac:dyDescent="0.25">
      <c r="AJ571" s="12"/>
      <c r="AK571" s="12"/>
      <c r="AQ571" s="12"/>
      <c r="AR571" s="12"/>
      <c r="AU571" s="12"/>
      <c r="AV571" s="12"/>
      <c r="AX571" s="12"/>
      <c r="AY571" s="12"/>
      <c r="BA571" s="12"/>
      <c r="BB571" s="12"/>
      <c r="BD571" s="12"/>
      <c r="BE571" s="12"/>
      <c r="BG571" s="12"/>
      <c r="BH571" s="12"/>
      <c r="BJ571" s="12"/>
      <c r="BK571" s="12"/>
      <c r="BM571" s="12"/>
      <c r="BN571" s="12"/>
      <c r="BQ571" s="12"/>
      <c r="BR571" s="12"/>
      <c r="BU571" s="12"/>
      <c r="BV571" s="12"/>
      <c r="BY571" s="12"/>
      <c r="BZ571" s="12"/>
      <c r="CC571" s="12"/>
      <c r="CD571" s="12"/>
      <c r="CG571" s="12"/>
      <c r="CH571" s="12"/>
      <c r="CJ571" s="12"/>
      <c r="CK571" s="12"/>
      <c r="CN571" s="12"/>
      <c r="CO571" s="12"/>
      <c r="CV571" s="12"/>
      <c r="CW571" s="12"/>
      <c r="CZ571" s="12"/>
      <c r="DA571" s="12"/>
      <c r="DC571" s="12"/>
      <c r="DD571" s="12"/>
      <c r="EX571" s="9"/>
      <c r="EY571" s="9"/>
      <c r="EZ571" s="9"/>
      <c r="FA571" s="15"/>
      <c r="FB571" s="14"/>
      <c r="FC571" s="10"/>
      <c r="FD571" s="10"/>
      <c r="FE571" s="10"/>
      <c r="FF571" s="10"/>
    </row>
    <row r="572" spans="36:162" x14ac:dyDescent="0.25">
      <c r="AJ572" s="12"/>
      <c r="AK572" s="12"/>
      <c r="AQ572" s="12"/>
      <c r="AR572" s="12"/>
      <c r="AU572" s="12"/>
      <c r="AV572" s="12"/>
      <c r="AX572" s="12"/>
      <c r="AY572" s="12"/>
      <c r="BA572" s="12"/>
      <c r="BB572" s="12"/>
      <c r="BD572" s="12"/>
      <c r="BE572" s="12"/>
      <c r="BG572" s="12"/>
      <c r="BH572" s="12"/>
      <c r="BJ572" s="12"/>
      <c r="BK572" s="12"/>
      <c r="BM572" s="12"/>
      <c r="BN572" s="12"/>
      <c r="BQ572" s="12"/>
      <c r="BR572" s="12"/>
      <c r="BU572" s="12"/>
      <c r="BV572" s="12"/>
      <c r="BY572" s="12"/>
      <c r="BZ572" s="12"/>
      <c r="CC572" s="12"/>
      <c r="CD572" s="12"/>
      <c r="CG572" s="12"/>
      <c r="CH572" s="12"/>
      <c r="CJ572" s="12"/>
      <c r="CK572" s="12"/>
      <c r="CN572" s="12"/>
      <c r="CO572" s="12"/>
      <c r="CV572" s="12"/>
      <c r="CW572" s="12"/>
      <c r="CZ572" s="12"/>
      <c r="DA572" s="12"/>
      <c r="DC572" s="12"/>
      <c r="DD572" s="12"/>
      <c r="EX572" s="9"/>
      <c r="EY572" s="9"/>
      <c r="EZ572" s="9"/>
      <c r="FA572" s="15"/>
      <c r="FB572" s="14"/>
      <c r="FC572" s="10"/>
      <c r="FD572" s="10"/>
      <c r="FE572" s="10"/>
      <c r="FF572" s="10"/>
    </row>
    <row r="573" spans="36:162" x14ac:dyDescent="0.25">
      <c r="AJ573" s="12"/>
      <c r="AK573" s="12"/>
      <c r="AQ573" s="12"/>
      <c r="AR573" s="12"/>
      <c r="AU573" s="12"/>
      <c r="AV573" s="12"/>
      <c r="AX573" s="12"/>
      <c r="AY573" s="12"/>
      <c r="BA573" s="12"/>
      <c r="BB573" s="12"/>
      <c r="BD573" s="12"/>
      <c r="BE573" s="12"/>
      <c r="BG573" s="12"/>
      <c r="BH573" s="12"/>
      <c r="BJ573" s="12"/>
      <c r="BK573" s="12"/>
      <c r="BM573" s="12"/>
      <c r="BN573" s="12"/>
      <c r="BQ573" s="12"/>
      <c r="BR573" s="12"/>
      <c r="BU573" s="12"/>
      <c r="BV573" s="12"/>
      <c r="BY573" s="12"/>
      <c r="BZ573" s="12"/>
      <c r="CC573" s="12"/>
      <c r="CD573" s="12"/>
      <c r="CG573" s="12"/>
      <c r="CH573" s="12"/>
      <c r="CJ573" s="12"/>
      <c r="CK573" s="12"/>
      <c r="CN573" s="12"/>
      <c r="CO573" s="12"/>
      <c r="CV573" s="12"/>
      <c r="CW573" s="12"/>
      <c r="CZ573" s="12"/>
      <c r="DA573" s="12"/>
      <c r="DC573" s="12"/>
      <c r="DD573" s="12"/>
      <c r="EX573" s="9"/>
      <c r="EY573" s="9"/>
      <c r="EZ573" s="9"/>
      <c r="FA573" s="15"/>
      <c r="FB573" s="14"/>
      <c r="FC573" s="10"/>
      <c r="FD573" s="10"/>
      <c r="FE573" s="10"/>
      <c r="FF573" s="10"/>
    </row>
    <row r="574" spans="36:162" x14ac:dyDescent="0.25">
      <c r="AJ574" s="12"/>
      <c r="AK574" s="12"/>
      <c r="AQ574" s="12"/>
      <c r="AR574" s="12"/>
      <c r="AU574" s="12"/>
      <c r="AV574" s="12"/>
      <c r="AX574" s="12"/>
      <c r="AY574" s="12"/>
      <c r="BA574" s="12"/>
      <c r="BB574" s="12"/>
      <c r="BD574" s="12"/>
      <c r="BE574" s="12"/>
      <c r="BG574" s="12"/>
      <c r="BH574" s="12"/>
      <c r="BJ574" s="12"/>
      <c r="BK574" s="12"/>
      <c r="BM574" s="12"/>
      <c r="BN574" s="12"/>
      <c r="BQ574" s="12"/>
      <c r="BR574" s="12"/>
      <c r="BU574" s="12"/>
      <c r="BV574" s="12"/>
      <c r="BY574" s="12"/>
      <c r="BZ574" s="12"/>
      <c r="CC574" s="12"/>
      <c r="CD574" s="12"/>
      <c r="CG574" s="12"/>
      <c r="CH574" s="12"/>
      <c r="CJ574" s="12"/>
      <c r="CK574" s="12"/>
      <c r="CN574" s="12"/>
      <c r="CO574" s="12"/>
      <c r="CV574" s="12"/>
      <c r="CW574" s="12"/>
      <c r="CZ574" s="12"/>
      <c r="DA574" s="12"/>
      <c r="DC574" s="12"/>
      <c r="DD574" s="12"/>
      <c r="EX574" s="9"/>
      <c r="EY574" s="9"/>
      <c r="EZ574" s="9"/>
      <c r="FA574" s="15"/>
      <c r="FB574" s="14"/>
      <c r="FC574" s="10"/>
      <c r="FD574" s="10"/>
      <c r="FE574" s="10"/>
      <c r="FF574" s="10"/>
    </row>
    <row r="575" spans="36:162" x14ac:dyDescent="0.25">
      <c r="AJ575" s="12"/>
      <c r="AK575" s="12"/>
      <c r="AQ575" s="12"/>
      <c r="AR575" s="12"/>
      <c r="AU575" s="12"/>
      <c r="AV575" s="12"/>
      <c r="AX575" s="12"/>
      <c r="AY575" s="12"/>
      <c r="BA575" s="12"/>
      <c r="BB575" s="12"/>
      <c r="BD575" s="12"/>
      <c r="BE575" s="12"/>
      <c r="BG575" s="12"/>
      <c r="BH575" s="12"/>
      <c r="BJ575" s="12"/>
      <c r="BK575" s="12"/>
      <c r="BM575" s="12"/>
      <c r="BN575" s="12"/>
      <c r="BQ575" s="12"/>
      <c r="BR575" s="12"/>
      <c r="BU575" s="12"/>
      <c r="BV575" s="12"/>
      <c r="BY575" s="12"/>
      <c r="BZ575" s="12"/>
      <c r="CC575" s="12"/>
      <c r="CD575" s="12"/>
      <c r="CG575" s="12"/>
      <c r="CH575" s="12"/>
      <c r="CJ575" s="12"/>
      <c r="CK575" s="12"/>
      <c r="CN575" s="12"/>
      <c r="CO575" s="12"/>
      <c r="CV575" s="12"/>
      <c r="CW575" s="12"/>
      <c r="CZ575" s="12"/>
      <c r="DA575" s="12"/>
      <c r="DC575" s="12"/>
      <c r="DD575" s="12"/>
      <c r="EX575" s="9"/>
      <c r="EY575" s="9"/>
      <c r="EZ575" s="9"/>
      <c r="FA575" s="15"/>
      <c r="FB575" s="14"/>
      <c r="FC575" s="10"/>
      <c r="FD575" s="10"/>
      <c r="FE575" s="10"/>
      <c r="FF575" s="10"/>
    </row>
    <row r="576" spans="36:162" x14ac:dyDescent="0.25">
      <c r="AJ576" s="12"/>
      <c r="AK576" s="12"/>
      <c r="AQ576" s="12"/>
      <c r="AR576" s="12"/>
      <c r="AU576" s="12"/>
      <c r="AV576" s="12"/>
      <c r="AX576" s="12"/>
      <c r="AY576" s="12"/>
      <c r="BA576" s="12"/>
      <c r="BB576" s="12"/>
      <c r="BD576" s="12"/>
      <c r="BE576" s="12"/>
      <c r="BG576" s="12"/>
      <c r="BH576" s="12"/>
      <c r="BJ576" s="12"/>
      <c r="BK576" s="12"/>
      <c r="BM576" s="12"/>
      <c r="BN576" s="12"/>
      <c r="BQ576" s="12"/>
      <c r="BR576" s="12"/>
      <c r="BU576" s="12"/>
      <c r="BV576" s="12"/>
      <c r="BY576" s="12"/>
      <c r="BZ576" s="12"/>
      <c r="CC576" s="12"/>
      <c r="CD576" s="12"/>
      <c r="CG576" s="12"/>
      <c r="CH576" s="12"/>
      <c r="CJ576" s="12"/>
      <c r="CK576" s="12"/>
      <c r="CN576" s="12"/>
      <c r="CO576" s="12"/>
      <c r="CV576" s="12"/>
      <c r="CW576" s="12"/>
      <c r="CZ576" s="12"/>
      <c r="DA576" s="12"/>
      <c r="DC576" s="12"/>
      <c r="DD576" s="12"/>
      <c r="EX576" s="9"/>
      <c r="EY576" s="9"/>
      <c r="EZ576" s="9"/>
      <c r="FA576" s="15"/>
      <c r="FB576" s="14"/>
      <c r="FC576" s="10"/>
      <c r="FD576" s="10"/>
      <c r="FE576" s="10"/>
      <c r="FF576" s="10"/>
    </row>
    <row r="577" spans="36:162" x14ac:dyDescent="0.25">
      <c r="AJ577" s="12"/>
      <c r="AK577" s="12"/>
      <c r="AQ577" s="12"/>
      <c r="AR577" s="12"/>
      <c r="AU577" s="12"/>
      <c r="AV577" s="12"/>
      <c r="AX577" s="12"/>
      <c r="AY577" s="12"/>
      <c r="BA577" s="12"/>
      <c r="BB577" s="12"/>
      <c r="BD577" s="12"/>
      <c r="BE577" s="12"/>
      <c r="BG577" s="12"/>
      <c r="BH577" s="12"/>
      <c r="BJ577" s="12"/>
      <c r="BK577" s="12"/>
      <c r="BM577" s="12"/>
      <c r="BN577" s="12"/>
      <c r="BQ577" s="12"/>
      <c r="BR577" s="12"/>
      <c r="BU577" s="12"/>
      <c r="BV577" s="12"/>
      <c r="BY577" s="12"/>
      <c r="BZ577" s="12"/>
      <c r="CC577" s="12"/>
      <c r="CD577" s="12"/>
      <c r="CG577" s="12"/>
      <c r="CH577" s="12"/>
      <c r="CJ577" s="12"/>
      <c r="CK577" s="12"/>
      <c r="CN577" s="12"/>
      <c r="CO577" s="12"/>
      <c r="CV577" s="12"/>
      <c r="CW577" s="12"/>
      <c r="CZ577" s="12"/>
      <c r="DA577" s="12"/>
      <c r="DC577" s="12"/>
      <c r="DD577" s="12"/>
      <c r="EX577" s="9"/>
      <c r="EY577" s="9"/>
      <c r="EZ577" s="9"/>
      <c r="FA577" s="15"/>
      <c r="FB577" s="14"/>
      <c r="FC577" s="10"/>
      <c r="FD577" s="10"/>
      <c r="FE577" s="10"/>
      <c r="FF577" s="10"/>
    </row>
    <row r="578" spans="36:162" x14ac:dyDescent="0.25">
      <c r="AJ578" s="12"/>
      <c r="AK578" s="12"/>
      <c r="AQ578" s="12"/>
      <c r="AR578" s="12"/>
      <c r="AU578" s="12"/>
      <c r="AV578" s="12"/>
      <c r="AX578" s="12"/>
      <c r="AY578" s="12"/>
      <c r="BA578" s="12"/>
      <c r="BB578" s="12"/>
      <c r="BD578" s="12"/>
      <c r="BE578" s="12"/>
      <c r="BG578" s="12"/>
      <c r="BH578" s="12"/>
      <c r="BJ578" s="12"/>
      <c r="BK578" s="12"/>
      <c r="BM578" s="12"/>
      <c r="BN578" s="12"/>
      <c r="BQ578" s="12"/>
      <c r="BR578" s="12"/>
      <c r="BU578" s="12"/>
      <c r="BV578" s="12"/>
      <c r="BY578" s="12"/>
      <c r="BZ578" s="12"/>
      <c r="CC578" s="12"/>
      <c r="CD578" s="12"/>
      <c r="CG578" s="12"/>
      <c r="CH578" s="12"/>
      <c r="CJ578" s="12"/>
      <c r="CK578" s="12"/>
      <c r="CN578" s="12"/>
      <c r="CO578" s="12"/>
      <c r="CV578" s="12"/>
      <c r="CW578" s="12"/>
      <c r="CZ578" s="12"/>
      <c r="DA578" s="12"/>
      <c r="DC578" s="12"/>
      <c r="DD578" s="12"/>
      <c r="EX578" s="9"/>
      <c r="EY578" s="9"/>
      <c r="EZ578" s="9"/>
      <c r="FA578" s="15"/>
      <c r="FB578" s="14"/>
      <c r="FC578" s="10"/>
      <c r="FD578" s="10"/>
      <c r="FE578" s="10"/>
      <c r="FF578" s="10"/>
    </row>
    <row r="579" spans="36:162" x14ac:dyDescent="0.25">
      <c r="AJ579" s="12"/>
      <c r="AK579" s="12"/>
      <c r="AQ579" s="12"/>
      <c r="AR579" s="12"/>
      <c r="AU579" s="12"/>
      <c r="AV579" s="12"/>
      <c r="AX579" s="12"/>
      <c r="AY579" s="12"/>
      <c r="BA579" s="12"/>
      <c r="BB579" s="12"/>
      <c r="BD579" s="12"/>
      <c r="BE579" s="12"/>
      <c r="BG579" s="12"/>
      <c r="BH579" s="12"/>
      <c r="BJ579" s="12"/>
      <c r="BK579" s="12"/>
      <c r="BM579" s="12"/>
      <c r="BN579" s="12"/>
      <c r="BQ579" s="12"/>
      <c r="BR579" s="12"/>
      <c r="BU579" s="12"/>
      <c r="BV579" s="12"/>
      <c r="BY579" s="12"/>
      <c r="BZ579" s="12"/>
      <c r="CC579" s="12"/>
      <c r="CD579" s="12"/>
      <c r="CG579" s="12"/>
      <c r="CH579" s="12"/>
      <c r="CJ579" s="12"/>
      <c r="CK579" s="12"/>
      <c r="CN579" s="12"/>
      <c r="CO579" s="12"/>
      <c r="CV579" s="12"/>
      <c r="CW579" s="12"/>
      <c r="CZ579" s="12"/>
      <c r="DA579" s="12"/>
      <c r="DC579" s="12"/>
      <c r="DD579" s="12"/>
      <c r="EX579" s="9"/>
      <c r="EY579" s="9"/>
      <c r="EZ579" s="9"/>
      <c r="FA579" s="15"/>
      <c r="FB579" s="14"/>
      <c r="FC579" s="10"/>
      <c r="FD579" s="10"/>
      <c r="FE579" s="10"/>
      <c r="FF579" s="10"/>
    </row>
    <row r="580" spans="36:162" x14ac:dyDescent="0.25">
      <c r="AJ580" s="12"/>
      <c r="AK580" s="12"/>
      <c r="AQ580" s="12"/>
      <c r="AR580" s="12"/>
      <c r="AU580" s="12"/>
      <c r="AV580" s="12"/>
      <c r="AX580" s="12"/>
      <c r="AY580" s="12"/>
      <c r="BA580" s="12"/>
      <c r="BB580" s="12"/>
      <c r="BD580" s="12"/>
      <c r="BE580" s="12"/>
      <c r="BG580" s="12"/>
      <c r="BH580" s="12"/>
      <c r="BJ580" s="12"/>
      <c r="BK580" s="12"/>
      <c r="BM580" s="12"/>
      <c r="BN580" s="12"/>
      <c r="BQ580" s="12"/>
      <c r="BR580" s="12"/>
      <c r="BU580" s="12"/>
      <c r="BV580" s="12"/>
      <c r="BY580" s="12"/>
      <c r="BZ580" s="12"/>
      <c r="CC580" s="12"/>
      <c r="CD580" s="12"/>
      <c r="CG580" s="12"/>
      <c r="CH580" s="12"/>
      <c r="CJ580" s="12"/>
      <c r="CK580" s="12"/>
      <c r="CN580" s="12"/>
      <c r="CO580" s="12"/>
      <c r="CV580" s="12"/>
      <c r="CW580" s="12"/>
      <c r="CZ580" s="12"/>
      <c r="DA580" s="12"/>
      <c r="DC580" s="12"/>
      <c r="DD580" s="12"/>
      <c r="EX580" s="9"/>
      <c r="EY580" s="9"/>
      <c r="EZ580" s="9"/>
      <c r="FA580" s="15"/>
      <c r="FB580" s="14"/>
      <c r="FC580" s="10"/>
      <c r="FD580" s="10"/>
      <c r="FE580" s="10"/>
      <c r="FF580" s="10"/>
    </row>
    <row r="581" spans="36:162" x14ac:dyDescent="0.25">
      <c r="AJ581" s="12"/>
      <c r="AK581" s="12"/>
      <c r="AQ581" s="12"/>
      <c r="AR581" s="12"/>
      <c r="AU581" s="12"/>
      <c r="AV581" s="12"/>
      <c r="AX581" s="12"/>
      <c r="AY581" s="12"/>
      <c r="BA581" s="12"/>
      <c r="BB581" s="12"/>
      <c r="BD581" s="12"/>
      <c r="BE581" s="12"/>
      <c r="BG581" s="12"/>
      <c r="BH581" s="12"/>
      <c r="BJ581" s="12"/>
      <c r="BK581" s="12"/>
      <c r="BM581" s="12"/>
      <c r="BN581" s="12"/>
      <c r="BQ581" s="12"/>
      <c r="BR581" s="12"/>
      <c r="BU581" s="12"/>
      <c r="BV581" s="12"/>
      <c r="BY581" s="12"/>
      <c r="BZ581" s="12"/>
      <c r="CC581" s="12"/>
      <c r="CD581" s="12"/>
      <c r="CG581" s="12"/>
      <c r="CH581" s="12"/>
      <c r="CJ581" s="12"/>
      <c r="CK581" s="12"/>
      <c r="CN581" s="12"/>
      <c r="CO581" s="12"/>
      <c r="CV581" s="12"/>
      <c r="CW581" s="12"/>
      <c r="CZ581" s="12"/>
      <c r="DA581" s="12"/>
      <c r="DC581" s="12"/>
      <c r="DD581" s="12"/>
      <c r="EX581" s="9"/>
      <c r="EY581" s="9"/>
      <c r="EZ581" s="9"/>
      <c r="FA581" s="15"/>
      <c r="FB581" s="14"/>
      <c r="FC581" s="10"/>
      <c r="FD581" s="10"/>
      <c r="FE581" s="10"/>
      <c r="FF581" s="10"/>
    </row>
    <row r="582" spans="36:162" x14ac:dyDescent="0.25">
      <c r="AJ582" s="12"/>
      <c r="AK582" s="12"/>
      <c r="AQ582" s="12"/>
      <c r="AR582" s="12"/>
      <c r="AU582" s="12"/>
      <c r="AV582" s="12"/>
      <c r="AX582" s="12"/>
      <c r="AY582" s="12"/>
      <c r="BA582" s="12"/>
      <c r="BB582" s="12"/>
      <c r="BD582" s="12"/>
      <c r="BE582" s="12"/>
      <c r="BG582" s="12"/>
      <c r="BH582" s="12"/>
      <c r="BJ582" s="12"/>
      <c r="BK582" s="12"/>
      <c r="BM582" s="12"/>
      <c r="BN582" s="12"/>
      <c r="BQ582" s="12"/>
      <c r="BR582" s="12"/>
      <c r="BU582" s="12"/>
      <c r="BV582" s="12"/>
      <c r="BY582" s="12"/>
      <c r="BZ582" s="12"/>
      <c r="CC582" s="12"/>
      <c r="CD582" s="12"/>
      <c r="CG582" s="12"/>
      <c r="CH582" s="12"/>
      <c r="CJ582" s="12"/>
      <c r="CK582" s="12"/>
      <c r="CN582" s="12"/>
      <c r="CO582" s="12"/>
      <c r="CV582" s="12"/>
      <c r="CW582" s="12"/>
      <c r="CZ582" s="12"/>
      <c r="DA582" s="12"/>
      <c r="DC582" s="12"/>
      <c r="DD582" s="12"/>
      <c r="EX582" s="9"/>
      <c r="EY582" s="9"/>
      <c r="EZ582" s="9"/>
      <c r="FA582" s="15"/>
      <c r="FB582" s="14"/>
      <c r="FC582" s="10"/>
      <c r="FD582" s="10"/>
      <c r="FE582" s="10"/>
      <c r="FF582" s="10"/>
    </row>
    <row r="583" spans="36:162" x14ac:dyDescent="0.25">
      <c r="AJ583" s="12"/>
      <c r="AK583" s="12"/>
      <c r="AQ583" s="12"/>
      <c r="AR583" s="12"/>
      <c r="AU583" s="12"/>
      <c r="AV583" s="12"/>
      <c r="AX583" s="12"/>
      <c r="AY583" s="12"/>
      <c r="BA583" s="12"/>
      <c r="BB583" s="12"/>
      <c r="BD583" s="12"/>
      <c r="BE583" s="12"/>
      <c r="BG583" s="12"/>
      <c r="BH583" s="12"/>
      <c r="BJ583" s="12"/>
      <c r="BK583" s="12"/>
      <c r="BM583" s="12"/>
      <c r="BN583" s="12"/>
      <c r="BQ583" s="12"/>
      <c r="BR583" s="12"/>
      <c r="BU583" s="12"/>
      <c r="BV583" s="12"/>
      <c r="BY583" s="12"/>
      <c r="BZ583" s="12"/>
      <c r="CC583" s="12"/>
      <c r="CD583" s="12"/>
      <c r="CG583" s="12"/>
      <c r="CH583" s="12"/>
      <c r="CJ583" s="12"/>
      <c r="CK583" s="12"/>
      <c r="CN583" s="12"/>
      <c r="CO583" s="12"/>
      <c r="CV583" s="12"/>
      <c r="CW583" s="12"/>
      <c r="CZ583" s="12"/>
      <c r="DA583" s="12"/>
      <c r="DC583" s="12"/>
      <c r="DD583" s="12"/>
      <c r="EX583" s="9"/>
      <c r="EY583" s="9"/>
      <c r="EZ583" s="9"/>
      <c r="FA583" s="15"/>
      <c r="FB583" s="14"/>
      <c r="FC583" s="10"/>
      <c r="FD583" s="10"/>
      <c r="FE583" s="10"/>
      <c r="FF583" s="10"/>
    </row>
    <row r="584" spans="36:162" x14ac:dyDescent="0.25">
      <c r="AJ584" s="12"/>
      <c r="AK584" s="12"/>
      <c r="AQ584" s="12"/>
      <c r="AR584" s="12"/>
      <c r="AU584" s="12"/>
      <c r="AV584" s="12"/>
      <c r="AX584" s="12"/>
      <c r="AY584" s="12"/>
      <c r="BA584" s="12"/>
      <c r="BB584" s="12"/>
      <c r="BD584" s="12"/>
      <c r="BE584" s="12"/>
      <c r="BG584" s="12"/>
      <c r="BH584" s="12"/>
      <c r="BJ584" s="12"/>
      <c r="BK584" s="12"/>
      <c r="BM584" s="12"/>
      <c r="BN584" s="12"/>
      <c r="BQ584" s="12"/>
      <c r="BR584" s="12"/>
      <c r="BU584" s="12"/>
      <c r="BV584" s="12"/>
      <c r="BY584" s="12"/>
      <c r="BZ584" s="12"/>
      <c r="CC584" s="12"/>
      <c r="CD584" s="12"/>
      <c r="CG584" s="12"/>
      <c r="CH584" s="12"/>
      <c r="CJ584" s="12"/>
      <c r="CK584" s="12"/>
      <c r="CN584" s="12"/>
      <c r="CO584" s="12"/>
      <c r="CV584" s="12"/>
      <c r="CW584" s="12"/>
      <c r="CZ584" s="12"/>
      <c r="DA584" s="12"/>
      <c r="DC584" s="12"/>
      <c r="DD584" s="12"/>
      <c r="EX584" s="9"/>
      <c r="EY584" s="9"/>
      <c r="EZ584" s="9"/>
      <c r="FA584" s="15"/>
      <c r="FB584" s="14"/>
      <c r="FC584" s="10"/>
      <c r="FD584" s="10"/>
      <c r="FE584" s="10"/>
      <c r="FF584" s="10"/>
    </row>
    <row r="585" spans="36:162" x14ac:dyDescent="0.25">
      <c r="AJ585" s="12"/>
      <c r="AK585" s="12"/>
      <c r="AQ585" s="12"/>
      <c r="AR585" s="12"/>
      <c r="AU585" s="12"/>
      <c r="AV585" s="12"/>
      <c r="AX585" s="12"/>
      <c r="AY585" s="12"/>
      <c r="BA585" s="12"/>
      <c r="BB585" s="12"/>
      <c r="BD585" s="12"/>
      <c r="BE585" s="12"/>
      <c r="BG585" s="12"/>
      <c r="BH585" s="12"/>
      <c r="BJ585" s="12"/>
      <c r="BK585" s="12"/>
      <c r="BM585" s="12"/>
      <c r="BN585" s="12"/>
      <c r="BQ585" s="12"/>
      <c r="BR585" s="12"/>
      <c r="BU585" s="12"/>
      <c r="BV585" s="12"/>
      <c r="BY585" s="12"/>
      <c r="BZ585" s="12"/>
      <c r="CC585" s="12"/>
      <c r="CD585" s="12"/>
      <c r="CG585" s="12"/>
      <c r="CH585" s="12"/>
      <c r="CJ585" s="12"/>
      <c r="CK585" s="12"/>
      <c r="CN585" s="12"/>
      <c r="CO585" s="12"/>
      <c r="CV585" s="12"/>
      <c r="CW585" s="12"/>
      <c r="CZ585" s="12"/>
      <c r="DA585" s="12"/>
      <c r="DC585" s="12"/>
      <c r="DD585" s="12"/>
      <c r="EX585" s="9"/>
      <c r="EY585" s="9"/>
      <c r="EZ585" s="9"/>
      <c r="FA585" s="15"/>
      <c r="FB585" s="14"/>
      <c r="FC585" s="10"/>
      <c r="FD585" s="10"/>
      <c r="FE585" s="10"/>
      <c r="FF585" s="10"/>
    </row>
    <row r="586" spans="36:162" x14ac:dyDescent="0.25">
      <c r="AJ586" s="12"/>
      <c r="AK586" s="12"/>
      <c r="AQ586" s="12"/>
      <c r="AR586" s="12"/>
      <c r="AU586" s="12"/>
      <c r="AV586" s="12"/>
      <c r="AX586" s="12"/>
      <c r="AY586" s="12"/>
      <c r="BA586" s="12"/>
      <c r="BB586" s="12"/>
      <c r="BD586" s="12"/>
      <c r="BE586" s="12"/>
      <c r="BG586" s="12"/>
      <c r="BH586" s="12"/>
      <c r="BJ586" s="12"/>
      <c r="BK586" s="12"/>
      <c r="BM586" s="12"/>
      <c r="BN586" s="12"/>
      <c r="BQ586" s="12"/>
      <c r="BR586" s="12"/>
      <c r="BU586" s="12"/>
      <c r="BV586" s="12"/>
      <c r="BY586" s="12"/>
      <c r="BZ586" s="12"/>
      <c r="CC586" s="12"/>
      <c r="CD586" s="12"/>
      <c r="CG586" s="12"/>
      <c r="CH586" s="12"/>
      <c r="CJ586" s="12"/>
      <c r="CK586" s="12"/>
      <c r="CN586" s="12"/>
      <c r="CO586" s="12"/>
      <c r="CV586" s="12"/>
      <c r="CW586" s="12"/>
      <c r="CZ586" s="12"/>
      <c r="DA586" s="12"/>
      <c r="DC586" s="12"/>
      <c r="DD586" s="12"/>
      <c r="EX586" s="9"/>
      <c r="EY586" s="9"/>
      <c r="EZ586" s="9"/>
      <c r="FA586" s="15"/>
      <c r="FB586" s="14"/>
      <c r="FC586" s="10"/>
      <c r="FD586" s="10"/>
      <c r="FE586" s="10"/>
      <c r="FF586" s="10"/>
    </row>
    <row r="587" spans="36:162" x14ac:dyDescent="0.25">
      <c r="AJ587" s="12"/>
      <c r="AK587" s="12"/>
      <c r="AQ587" s="12"/>
      <c r="AR587" s="12"/>
      <c r="AU587" s="12"/>
      <c r="AV587" s="12"/>
      <c r="AX587" s="12"/>
      <c r="AY587" s="12"/>
      <c r="BA587" s="12"/>
      <c r="BB587" s="12"/>
      <c r="BD587" s="12"/>
      <c r="BE587" s="12"/>
      <c r="BG587" s="12"/>
      <c r="BH587" s="12"/>
      <c r="BJ587" s="12"/>
      <c r="BK587" s="12"/>
      <c r="BM587" s="12"/>
      <c r="BN587" s="12"/>
      <c r="BQ587" s="12"/>
      <c r="BR587" s="12"/>
      <c r="BU587" s="12"/>
      <c r="BV587" s="12"/>
      <c r="BY587" s="12"/>
      <c r="BZ587" s="12"/>
      <c r="CC587" s="12"/>
      <c r="CD587" s="12"/>
      <c r="CG587" s="12"/>
      <c r="CH587" s="12"/>
      <c r="CJ587" s="12"/>
      <c r="CK587" s="12"/>
      <c r="CN587" s="12"/>
      <c r="CO587" s="12"/>
      <c r="CV587" s="12"/>
      <c r="CW587" s="12"/>
      <c r="CZ587" s="12"/>
      <c r="DA587" s="12"/>
      <c r="DC587" s="12"/>
      <c r="DD587" s="12"/>
      <c r="EX587" s="9"/>
      <c r="EY587" s="9"/>
      <c r="EZ587" s="9"/>
      <c r="FA587" s="15"/>
      <c r="FB587" s="14"/>
      <c r="FC587" s="10"/>
      <c r="FD587" s="10"/>
      <c r="FE587" s="10"/>
      <c r="FF587" s="10"/>
    </row>
    <row r="588" spans="36:162" x14ac:dyDescent="0.25">
      <c r="AJ588" s="12"/>
      <c r="AK588" s="12"/>
      <c r="AQ588" s="12"/>
      <c r="AR588" s="12"/>
      <c r="AU588" s="12"/>
      <c r="AV588" s="12"/>
      <c r="AX588" s="12"/>
      <c r="AY588" s="12"/>
      <c r="BA588" s="12"/>
      <c r="BB588" s="12"/>
      <c r="BD588" s="12"/>
      <c r="BE588" s="12"/>
      <c r="BG588" s="12"/>
      <c r="BH588" s="12"/>
      <c r="BJ588" s="12"/>
      <c r="BK588" s="12"/>
      <c r="BM588" s="12"/>
      <c r="BN588" s="12"/>
      <c r="BQ588" s="12"/>
      <c r="BR588" s="12"/>
      <c r="BU588" s="12"/>
      <c r="BV588" s="12"/>
      <c r="BY588" s="12"/>
      <c r="BZ588" s="12"/>
      <c r="CC588" s="12"/>
      <c r="CD588" s="12"/>
      <c r="CG588" s="12"/>
      <c r="CH588" s="12"/>
      <c r="CJ588" s="12"/>
      <c r="CK588" s="12"/>
      <c r="CN588" s="12"/>
      <c r="CO588" s="12"/>
      <c r="CV588" s="12"/>
      <c r="CW588" s="12"/>
      <c r="CZ588" s="12"/>
      <c r="DA588" s="12"/>
      <c r="DC588" s="12"/>
      <c r="DD588" s="12"/>
      <c r="EX588" s="9"/>
      <c r="EY588" s="9"/>
      <c r="EZ588" s="9"/>
      <c r="FA588" s="15"/>
      <c r="FB588" s="14"/>
      <c r="FC588" s="10"/>
      <c r="FD588" s="10"/>
      <c r="FE588" s="10"/>
      <c r="FF588" s="10"/>
    </row>
    <row r="589" spans="36:162" x14ac:dyDescent="0.25">
      <c r="AJ589" s="12"/>
      <c r="AK589" s="12"/>
      <c r="AQ589" s="12"/>
      <c r="AR589" s="12"/>
      <c r="AU589" s="12"/>
      <c r="AV589" s="12"/>
      <c r="AX589" s="12"/>
      <c r="AY589" s="12"/>
      <c r="BA589" s="12"/>
      <c r="BB589" s="12"/>
      <c r="BD589" s="12"/>
      <c r="BE589" s="12"/>
      <c r="BG589" s="12"/>
      <c r="BH589" s="12"/>
      <c r="BJ589" s="12"/>
      <c r="BK589" s="12"/>
      <c r="BM589" s="12"/>
      <c r="BN589" s="12"/>
      <c r="BQ589" s="12"/>
      <c r="BR589" s="12"/>
      <c r="BU589" s="12"/>
      <c r="BV589" s="12"/>
      <c r="BY589" s="12"/>
      <c r="BZ589" s="12"/>
      <c r="CC589" s="12"/>
      <c r="CD589" s="12"/>
      <c r="CG589" s="12"/>
      <c r="CH589" s="12"/>
      <c r="CJ589" s="12"/>
      <c r="CK589" s="12"/>
      <c r="CN589" s="12"/>
      <c r="CO589" s="12"/>
      <c r="CV589" s="12"/>
      <c r="CW589" s="12"/>
      <c r="CZ589" s="12"/>
      <c r="DA589" s="12"/>
      <c r="DC589" s="12"/>
      <c r="DD589" s="12"/>
      <c r="EX589" s="9"/>
      <c r="EY589" s="9"/>
      <c r="EZ589" s="9"/>
      <c r="FA589" s="15"/>
      <c r="FB589" s="14"/>
      <c r="FC589" s="10"/>
      <c r="FD589" s="10"/>
      <c r="FE589" s="10"/>
      <c r="FF589" s="10"/>
    </row>
    <row r="590" spans="36:162" x14ac:dyDescent="0.25">
      <c r="AJ590" s="12"/>
      <c r="AK590" s="12"/>
      <c r="AQ590" s="12"/>
      <c r="AR590" s="12"/>
      <c r="AU590" s="12"/>
      <c r="AV590" s="12"/>
      <c r="AX590" s="12"/>
      <c r="AY590" s="12"/>
      <c r="BA590" s="12"/>
      <c r="BB590" s="12"/>
      <c r="BD590" s="12"/>
      <c r="BE590" s="12"/>
      <c r="BG590" s="12"/>
      <c r="BH590" s="12"/>
      <c r="BJ590" s="12"/>
      <c r="BK590" s="12"/>
      <c r="BM590" s="12"/>
      <c r="BN590" s="12"/>
      <c r="BQ590" s="12"/>
      <c r="BR590" s="12"/>
      <c r="BU590" s="12"/>
      <c r="BV590" s="12"/>
      <c r="BY590" s="12"/>
      <c r="BZ590" s="12"/>
      <c r="CC590" s="12"/>
      <c r="CD590" s="12"/>
      <c r="CG590" s="12"/>
      <c r="CH590" s="12"/>
      <c r="CJ590" s="12"/>
      <c r="CK590" s="12"/>
      <c r="CN590" s="12"/>
      <c r="CO590" s="12"/>
      <c r="CV590" s="12"/>
      <c r="CW590" s="12"/>
      <c r="CZ590" s="12"/>
      <c r="DA590" s="12"/>
      <c r="DC590" s="12"/>
      <c r="DD590" s="12"/>
      <c r="EX590" s="9"/>
      <c r="EY590" s="9"/>
      <c r="EZ590" s="9"/>
      <c r="FA590" s="15"/>
      <c r="FB590" s="14"/>
      <c r="FC590" s="10"/>
      <c r="FD590" s="10"/>
      <c r="FE590" s="10"/>
      <c r="FF590" s="10"/>
    </row>
    <row r="591" spans="36:162" x14ac:dyDescent="0.25">
      <c r="AJ591" s="12"/>
      <c r="AK591" s="12"/>
      <c r="AQ591" s="12"/>
      <c r="AR591" s="12"/>
      <c r="AU591" s="12"/>
      <c r="AV591" s="12"/>
      <c r="AX591" s="12"/>
      <c r="AY591" s="12"/>
      <c r="BA591" s="12"/>
      <c r="BB591" s="12"/>
      <c r="BD591" s="12"/>
      <c r="BE591" s="12"/>
      <c r="BG591" s="12"/>
      <c r="BH591" s="12"/>
      <c r="BJ591" s="12"/>
      <c r="BK591" s="12"/>
      <c r="BM591" s="12"/>
      <c r="BN591" s="12"/>
      <c r="BQ591" s="12"/>
      <c r="BR591" s="12"/>
      <c r="BU591" s="12"/>
      <c r="BV591" s="12"/>
      <c r="BY591" s="12"/>
      <c r="BZ591" s="12"/>
      <c r="CC591" s="12"/>
      <c r="CD591" s="12"/>
      <c r="CG591" s="12"/>
      <c r="CH591" s="12"/>
      <c r="CJ591" s="12"/>
      <c r="CK591" s="12"/>
      <c r="CN591" s="12"/>
      <c r="CO591" s="12"/>
      <c r="CV591" s="12"/>
      <c r="CW591" s="12"/>
      <c r="CZ591" s="12"/>
      <c r="DA591" s="12"/>
      <c r="DC591" s="12"/>
      <c r="DD591" s="12"/>
      <c r="EX591" s="9"/>
      <c r="EY591" s="9"/>
      <c r="EZ591" s="9"/>
      <c r="FA591" s="15"/>
      <c r="FB591" s="14"/>
      <c r="FC591" s="10"/>
      <c r="FD591" s="10"/>
      <c r="FE591" s="10"/>
      <c r="FF591" s="10"/>
    </row>
    <row r="592" spans="36:162" x14ac:dyDescent="0.25">
      <c r="AJ592" s="12"/>
      <c r="AK592" s="12"/>
      <c r="AQ592" s="12"/>
      <c r="AR592" s="12"/>
      <c r="AU592" s="12"/>
      <c r="AV592" s="12"/>
      <c r="AX592" s="12"/>
      <c r="AY592" s="12"/>
      <c r="BA592" s="12"/>
      <c r="BB592" s="12"/>
      <c r="BD592" s="12"/>
      <c r="BE592" s="12"/>
      <c r="BG592" s="12"/>
      <c r="BH592" s="12"/>
      <c r="BJ592" s="12"/>
      <c r="BK592" s="12"/>
      <c r="BM592" s="12"/>
      <c r="BN592" s="12"/>
      <c r="BQ592" s="12"/>
      <c r="BR592" s="12"/>
      <c r="BU592" s="12"/>
      <c r="BV592" s="12"/>
      <c r="BY592" s="12"/>
      <c r="BZ592" s="12"/>
      <c r="CC592" s="12"/>
      <c r="CD592" s="12"/>
      <c r="CG592" s="12"/>
      <c r="CH592" s="12"/>
      <c r="CJ592" s="12"/>
      <c r="CK592" s="12"/>
      <c r="CN592" s="12"/>
      <c r="CO592" s="12"/>
      <c r="CV592" s="12"/>
      <c r="CW592" s="12"/>
      <c r="CZ592" s="12"/>
      <c r="DA592" s="12"/>
      <c r="DC592" s="12"/>
      <c r="DD592" s="12"/>
      <c r="EX592" s="9"/>
      <c r="EY592" s="9"/>
      <c r="EZ592" s="9"/>
      <c r="FA592" s="15"/>
      <c r="FB592" s="14"/>
      <c r="FC592" s="10"/>
      <c r="FD592" s="10"/>
      <c r="FE592" s="10"/>
      <c r="FF592" s="10"/>
    </row>
    <row r="593" spans="36:162" x14ac:dyDescent="0.25">
      <c r="AJ593" s="12"/>
      <c r="AK593" s="12"/>
      <c r="AQ593" s="12"/>
      <c r="AR593" s="12"/>
      <c r="AU593" s="12"/>
      <c r="AV593" s="12"/>
      <c r="AX593" s="12"/>
      <c r="AY593" s="12"/>
      <c r="BA593" s="12"/>
      <c r="BB593" s="12"/>
      <c r="BD593" s="12"/>
      <c r="BE593" s="12"/>
      <c r="BG593" s="12"/>
      <c r="BH593" s="12"/>
      <c r="BJ593" s="12"/>
      <c r="BK593" s="12"/>
      <c r="BM593" s="12"/>
      <c r="BN593" s="12"/>
      <c r="BQ593" s="12"/>
      <c r="BR593" s="12"/>
      <c r="BU593" s="12"/>
      <c r="BV593" s="12"/>
      <c r="BY593" s="12"/>
      <c r="BZ593" s="12"/>
      <c r="CC593" s="12"/>
      <c r="CD593" s="12"/>
      <c r="CG593" s="12"/>
      <c r="CH593" s="12"/>
      <c r="CJ593" s="12"/>
      <c r="CK593" s="12"/>
      <c r="CN593" s="12"/>
      <c r="CO593" s="12"/>
      <c r="CV593" s="12"/>
      <c r="CW593" s="12"/>
      <c r="CZ593" s="12"/>
      <c r="DA593" s="12"/>
      <c r="DC593" s="12"/>
      <c r="DD593" s="12"/>
      <c r="EX593" s="9"/>
      <c r="EY593" s="9"/>
      <c r="EZ593" s="9"/>
      <c r="FA593" s="15"/>
      <c r="FB593" s="14"/>
      <c r="FC593" s="10"/>
      <c r="FD593" s="10"/>
      <c r="FE593" s="10"/>
      <c r="FF593" s="10"/>
    </row>
    <row r="594" spans="36:162" x14ac:dyDescent="0.25">
      <c r="AJ594" s="12"/>
      <c r="AK594" s="12"/>
      <c r="AQ594" s="12"/>
      <c r="AR594" s="12"/>
      <c r="AU594" s="12"/>
      <c r="AV594" s="12"/>
      <c r="AX594" s="12"/>
      <c r="AY594" s="12"/>
      <c r="BA594" s="12"/>
      <c r="BB594" s="12"/>
      <c r="BD594" s="12"/>
      <c r="BE594" s="12"/>
      <c r="BG594" s="12"/>
      <c r="BH594" s="12"/>
      <c r="BJ594" s="12"/>
      <c r="BK594" s="12"/>
      <c r="BM594" s="12"/>
      <c r="BN594" s="12"/>
      <c r="BQ594" s="12"/>
      <c r="BR594" s="12"/>
      <c r="BU594" s="12"/>
      <c r="BV594" s="12"/>
      <c r="BY594" s="12"/>
      <c r="BZ594" s="12"/>
      <c r="CC594" s="12"/>
      <c r="CD594" s="12"/>
      <c r="CG594" s="12"/>
      <c r="CH594" s="12"/>
      <c r="CJ594" s="12"/>
      <c r="CK594" s="12"/>
      <c r="CN594" s="12"/>
      <c r="CO594" s="12"/>
      <c r="CV594" s="12"/>
      <c r="CW594" s="12"/>
      <c r="CZ594" s="12"/>
      <c r="DA594" s="12"/>
      <c r="DC594" s="12"/>
      <c r="DD594" s="12"/>
      <c r="EX594" s="9"/>
      <c r="EY594" s="9"/>
      <c r="EZ594" s="9"/>
      <c r="FA594" s="15"/>
      <c r="FB594" s="14"/>
      <c r="FC594" s="10"/>
      <c r="FD594" s="10"/>
      <c r="FE594" s="10"/>
      <c r="FF594" s="10"/>
    </row>
    <row r="595" spans="36:162" x14ac:dyDescent="0.25">
      <c r="AJ595" s="12"/>
      <c r="AK595" s="12"/>
      <c r="AQ595" s="12"/>
      <c r="AR595" s="12"/>
      <c r="AU595" s="12"/>
      <c r="AV595" s="12"/>
      <c r="AX595" s="12"/>
      <c r="AY595" s="12"/>
      <c r="BA595" s="12"/>
      <c r="BB595" s="12"/>
      <c r="BD595" s="12"/>
      <c r="BE595" s="12"/>
      <c r="BG595" s="12"/>
      <c r="BH595" s="12"/>
      <c r="BJ595" s="12"/>
      <c r="BK595" s="12"/>
      <c r="BM595" s="12"/>
      <c r="BN595" s="12"/>
      <c r="BQ595" s="12"/>
      <c r="BR595" s="12"/>
      <c r="BU595" s="12"/>
      <c r="BV595" s="12"/>
      <c r="BY595" s="12"/>
      <c r="BZ595" s="12"/>
      <c r="CC595" s="12"/>
      <c r="CD595" s="12"/>
      <c r="CG595" s="12"/>
      <c r="CH595" s="12"/>
      <c r="CJ595" s="12"/>
      <c r="CK595" s="12"/>
      <c r="CN595" s="12"/>
      <c r="CO595" s="12"/>
      <c r="CV595" s="12"/>
      <c r="CW595" s="12"/>
      <c r="CZ595" s="12"/>
      <c r="DA595" s="12"/>
      <c r="DC595" s="12"/>
      <c r="DD595" s="12"/>
      <c r="EX595" s="9"/>
      <c r="EY595" s="9"/>
      <c r="EZ595" s="9"/>
      <c r="FA595" s="15"/>
      <c r="FB595" s="14"/>
      <c r="FC595" s="10"/>
      <c r="FD595" s="10"/>
      <c r="FE595" s="10"/>
      <c r="FF595" s="10"/>
    </row>
    <row r="596" spans="36:162" x14ac:dyDescent="0.25">
      <c r="AJ596" s="12"/>
      <c r="AK596" s="12"/>
      <c r="AQ596" s="12"/>
      <c r="AR596" s="12"/>
      <c r="AU596" s="12"/>
      <c r="AV596" s="12"/>
      <c r="AX596" s="12"/>
      <c r="AY596" s="12"/>
      <c r="BA596" s="12"/>
      <c r="BB596" s="12"/>
      <c r="BD596" s="12"/>
      <c r="BE596" s="12"/>
      <c r="BG596" s="12"/>
      <c r="BH596" s="12"/>
      <c r="BJ596" s="12"/>
      <c r="BK596" s="12"/>
      <c r="BM596" s="12"/>
      <c r="BN596" s="12"/>
      <c r="BQ596" s="12"/>
      <c r="BR596" s="12"/>
      <c r="BU596" s="12"/>
      <c r="BV596" s="12"/>
      <c r="BY596" s="12"/>
      <c r="BZ596" s="12"/>
      <c r="CC596" s="12"/>
      <c r="CD596" s="12"/>
      <c r="CG596" s="12"/>
      <c r="CH596" s="12"/>
      <c r="CJ596" s="12"/>
      <c r="CK596" s="12"/>
      <c r="CN596" s="12"/>
      <c r="CO596" s="12"/>
      <c r="CV596" s="12"/>
      <c r="CW596" s="12"/>
      <c r="CZ596" s="12"/>
      <c r="DA596" s="12"/>
      <c r="DC596" s="12"/>
      <c r="DD596" s="12"/>
      <c r="EX596" s="9"/>
      <c r="EY596" s="9"/>
      <c r="EZ596" s="9"/>
      <c r="FA596" s="15"/>
      <c r="FB596" s="14"/>
      <c r="FC596" s="10"/>
      <c r="FD596" s="10"/>
      <c r="FE596" s="10"/>
      <c r="FF596" s="10"/>
    </row>
    <row r="597" spans="36:162" x14ac:dyDescent="0.25">
      <c r="AJ597" s="12"/>
      <c r="AK597" s="12"/>
      <c r="AQ597" s="12"/>
      <c r="AR597" s="12"/>
      <c r="AU597" s="12"/>
      <c r="AV597" s="12"/>
      <c r="AX597" s="12"/>
      <c r="AY597" s="12"/>
      <c r="BA597" s="12"/>
      <c r="BB597" s="12"/>
      <c r="BD597" s="12"/>
      <c r="BE597" s="12"/>
      <c r="BG597" s="12"/>
      <c r="BH597" s="12"/>
      <c r="BJ597" s="12"/>
      <c r="BK597" s="12"/>
      <c r="BM597" s="12"/>
      <c r="BN597" s="12"/>
      <c r="BQ597" s="12"/>
      <c r="BR597" s="12"/>
      <c r="BU597" s="12"/>
      <c r="BV597" s="12"/>
      <c r="BY597" s="12"/>
      <c r="BZ597" s="12"/>
      <c r="CC597" s="12"/>
      <c r="CD597" s="12"/>
      <c r="CG597" s="12"/>
      <c r="CH597" s="12"/>
      <c r="CJ597" s="12"/>
      <c r="CK597" s="12"/>
      <c r="CN597" s="12"/>
      <c r="CO597" s="12"/>
      <c r="CV597" s="12"/>
      <c r="CW597" s="12"/>
      <c r="CZ597" s="12"/>
      <c r="DA597" s="12"/>
      <c r="DC597" s="12"/>
      <c r="DD597" s="12"/>
      <c r="EX597" s="9"/>
      <c r="EY597" s="9"/>
      <c r="EZ597" s="9"/>
      <c r="FA597" s="15"/>
      <c r="FB597" s="14"/>
      <c r="FC597" s="10"/>
      <c r="FD597" s="10"/>
      <c r="FE597" s="10"/>
      <c r="FF597" s="10"/>
    </row>
    <row r="598" spans="36:162" x14ac:dyDescent="0.25">
      <c r="AJ598" s="12"/>
      <c r="AK598" s="12"/>
      <c r="AQ598" s="12"/>
      <c r="AR598" s="12"/>
      <c r="AU598" s="12"/>
      <c r="AV598" s="12"/>
      <c r="AX598" s="12"/>
      <c r="AY598" s="12"/>
      <c r="BA598" s="12"/>
      <c r="BB598" s="12"/>
      <c r="BD598" s="12"/>
      <c r="BE598" s="12"/>
      <c r="BG598" s="12"/>
      <c r="BH598" s="12"/>
      <c r="BJ598" s="12"/>
      <c r="BK598" s="12"/>
      <c r="BM598" s="12"/>
      <c r="BN598" s="12"/>
      <c r="BQ598" s="12"/>
      <c r="BR598" s="12"/>
      <c r="BU598" s="12"/>
      <c r="BV598" s="12"/>
      <c r="BY598" s="12"/>
      <c r="BZ598" s="12"/>
      <c r="CC598" s="12"/>
      <c r="CD598" s="12"/>
      <c r="CG598" s="12"/>
      <c r="CH598" s="12"/>
      <c r="CJ598" s="12"/>
      <c r="CK598" s="12"/>
      <c r="CN598" s="12"/>
      <c r="CO598" s="12"/>
      <c r="CV598" s="12"/>
      <c r="CW598" s="12"/>
      <c r="CZ598" s="12"/>
      <c r="DA598" s="12"/>
      <c r="DC598" s="12"/>
      <c r="DD598" s="12"/>
      <c r="EX598" s="9"/>
      <c r="EY598" s="9"/>
      <c r="EZ598" s="9"/>
      <c r="FA598" s="15"/>
      <c r="FB598" s="14"/>
      <c r="FC598" s="10"/>
      <c r="FD598" s="10"/>
      <c r="FE598" s="10"/>
      <c r="FF598" s="10"/>
    </row>
    <row r="599" spans="36:162" x14ac:dyDescent="0.25">
      <c r="AJ599" s="12"/>
      <c r="AK599" s="12"/>
      <c r="AQ599" s="12"/>
      <c r="AR599" s="12"/>
      <c r="AU599" s="12"/>
      <c r="AV599" s="12"/>
      <c r="AX599" s="12"/>
      <c r="AY599" s="12"/>
      <c r="BA599" s="12"/>
      <c r="BB599" s="12"/>
      <c r="BD599" s="12"/>
      <c r="BE599" s="12"/>
      <c r="BG599" s="12"/>
      <c r="BH599" s="12"/>
      <c r="BJ599" s="12"/>
      <c r="BK599" s="12"/>
      <c r="BM599" s="12"/>
      <c r="BN599" s="12"/>
      <c r="BQ599" s="12"/>
      <c r="BR599" s="12"/>
      <c r="BU599" s="12"/>
      <c r="BV599" s="12"/>
      <c r="BY599" s="12"/>
      <c r="BZ599" s="12"/>
      <c r="CC599" s="12"/>
      <c r="CD599" s="12"/>
      <c r="CG599" s="12"/>
      <c r="CH599" s="12"/>
      <c r="CJ599" s="12"/>
      <c r="CK599" s="12"/>
      <c r="CN599" s="12"/>
      <c r="CO599" s="12"/>
      <c r="CV599" s="12"/>
      <c r="CW599" s="12"/>
      <c r="CZ599" s="12"/>
      <c r="DA599" s="12"/>
      <c r="DC599" s="12"/>
      <c r="DD599" s="12"/>
      <c r="EX599" s="9"/>
      <c r="EY599" s="9"/>
      <c r="EZ599" s="9"/>
      <c r="FA599" s="15"/>
      <c r="FB599" s="14"/>
      <c r="FC599" s="10"/>
      <c r="FD599" s="10"/>
      <c r="FE599" s="10"/>
      <c r="FF599" s="10"/>
    </row>
    <row r="600" spans="36:162" x14ac:dyDescent="0.25">
      <c r="AJ600" s="12"/>
      <c r="AK600" s="12"/>
      <c r="AQ600" s="12"/>
      <c r="AR600" s="12"/>
      <c r="AU600" s="12"/>
      <c r="AV600" s="12"/>
      <c r="AX600" s="12"/>
      <c r="AY600" s="12"/>
      <c r="BA600" s="12"/>
      <c r="BB600" s="12"/>
      <c r="BD600" s="12"/>
      <c r="BE600" s="12"/>
      <c r="BG600" s="12"/>
      <c r="BH600" s="12"/>
      <c r="BJ600" s="12"/>
      <c r="BK600" s="12"/>
      <c r="BM600" s="12"/>
      <c r="BN600" s="12"/>
      <c r="BQ600" s="12"/>
      <c r="BR600" s="12"/>
      <c r="BU600" s="12"/>
      <c r="BV600" s="12"/>
      <c r="BY600" s="12"/>
      <c r="BZ600" s="12"/>
      <c r="CC600" s="12"/>
      <c r="CD600" s="12"/>
      <c r="CG600" s="12"/>
      <c r="CH600" s="12"/>
      <c r="CJ600" s="12"/>
      <c r="CK600" s="12"/>
      <c r="CN600" s="12"/>
      <c r="CO600" s="12"/>
      <c r="CV600" s="12"/>
      <c r="CW600" s="12"/>
      <c r="CZ600" s="12"/>
      <c r="DA600" s="12"/>
      <c r="DC600" s="12"/>
      <c r="DD600" s="12"/>
      <c r="EX600" s="9"/>
      <c r="EY600" s="9"/>
      <c r="EZ600" s="9"/>
      <c r="FA600" s="15"/>
      <c r="FB600" s="14"/>
      <c r="FC600" s="10"/>
      <c r="FD600" s="10"/>
      <c r="FE600" s="10"/>
      <c r="FF600" s="10"/>
    </row>
    <row r="601" spans="36:162" x14ac:dyDescent="0.25">
      <c r="AJ601" s="12"/>
      <c r="AK601" s="12"/>
      <c r="AQ601" s="12"/>
      <c r="AR601" s="12"/>
      <c r="AU601" s="12"/>
      <c r="AV601" s="12"/>
      <c r="AX601" s="12"/>
      <c r="AY601" s="12"/>
      <c r="BA601" s="12"/>
      <c r="BB601" s="12"/>
      <c r="BD601" s="12"/>
      <c r="BE601" s="12"/>
      <c r="BG601" s="12"/>
      <c r="BH601" s="12"/>
      <c r="BJ601" s="12"/>
      <c r="BK601" s="12"/>
      <c r="BM601" s="12"/>
      <c r="BN601" s="12"/>
      <c r="BQ601" s="12"/>
      <c r="BR601" s="12"/>
      <c r="BU601" s="12"/>
      <c r="BV601" s="12"/>
      <c r="BY601" s="12"/>
      <c r="BZ601" s="12"/>
      <c r="CC601" s="12"/>
      <c r="CD601" s="12"/>
      <c r="CG601" s="12"/>
      <c r="CH601" s="12"/>
      <c r="CJ601" s="12"/>
      <c r="CK601" s="12"/>
      <c r="CN601" s="12"/>
      <c r="CO601" s="12"/>
      <c r="CV601" s="12"/>
      <c r="CW601" s="12"/>
      <c r="CZ601" s="12"/>
      <c r="DA601" s="12"/>
      <c r="DC601" s="12"/>
      <c r="DD601" s="12"/>
      <c r="EX601" s="9"/>
      <c r="EY601" s="9"/>
      <c r="EZ601" s="9"/>
      <c r="FA601" s="15"/>
      <c r="FB601" s="14"/>
      <c r="FC601" s="10"/>
      <c r="FD601" s="10"/>
      <c r="FE601" s="10"/>
      <c r="FF601" s="10"/>
    </row>
    <row r="602" spans="36:162" x14ac:dyDescent="0.25">
      <c r="AJ602" s="12"/>
      <c r="AK602" s="12"/>
      <c r="AQ602" s="12"/>
      <c r="AR602" s="12"/>
      <c r="AU602" s="12"/>
      <c r="AV602" s="12"/>
      <c r="AX602" s="12"/>
      <c r="AY602" s="12"/>
      <c r="BA602" s="12"/>
      <c r="BB602" s="12"/>
      <c r="BD602" s="12"/>
      <c r="BE602" s="12"/>
      <c r="BG602" s="12"/>
      <c r="BH602" s="12"/>
      <c r="BJ602" s="12"/>
      <c r="BK602" s="12"/>
      <c r="BM602" s="12"/>
      <c r="BN602" s="12"/>
      <c r="BQ602" s="12"/>
      <c r="BR602" s="12"/>
      <c r="BU602" s="12"/>
      <c r="BV602" s="12"/>
      <c r="BY602" s="12"/>
      <c r="BZ602" s="12"/>
      <c r="CC602" s="12"/>
      <c r="CD602" s="12"/>
      <c r="CG602" s="12"/>
      <c r="CH602" s="12"/>
      <c r="CJ602" s="12"/>
      <c r="CK602" s="12"/>
      <c r="CN602" s="12"/>
      <c r="CO602" s="12"/>
      <c r="CV602" s="12"/>
      <c r="CW602" s="12"/>
      <c r="CZ602" s="12"/>
      <c r="DA602" s="12"/>
      <c r="DC602" s="12"/>
      <c r="DD602" s="12"/>
      <c r="EX602" s="9"/>
      <c r="EY602" s="9"/>
      <c r="EZ602" s="9"/>
      <c r="FA602" s="15"/>
      <c r="FB602" s="14"/>
      <c r="FC602" s="10"/>
      <c r="FD602" s="10"/>
      <c r="FE602" s="10"/>
      <c r="FF602" s="10"/>
    </row>
    <row r="603" spans="36:162" x14ac:dyDescent="0.25">
      <c r="AJ603" s="12"/>
      <c r="AK603" s="12"/>
      <c r="AQ603" s="12"/>
      <c r="AR603" s="12"/>
      <c r="AU603" s="12"/>
      <c r="AV603" s="12"/>
      <c r="AX603" s="12"/>
      <c r="AY603" s="12"/>
      <c r="BA603" s="12"/>
      <c r="BB603" s="12"/>
      <c r="BD603" s="12"/>
      <c r="BE603" s="12"/>
      <c r="BG603" s="12"/>
      <c r="BH603" s="12"/>
      <c r="BJ603" s="12"/>
      <c r="BK603" s="12"/>
      <c r="BM603" s="12"/>
      <c r="BN603" s="12"/>
      <c r="BQ603" s="12"/>
      <c r="BR603" s="12"/>
      <c r="BU603" s="12"/>
      <c r="BV603" s="12"/>
      <c r="BY603" s="12"/>
      <c r="BZ603" s="12"/>
      <c r="CC603" s="12"/>
      <c r="CD603" s="12"/>
      <c r="CG603" s="12"/>
      <c r="CH603" s="12"/>
      <c r="CJ603" s="12"/>
      <c r="CK603" s="12"/>
      <c r="CN603" s="12"/>
      <c r="CO603" s="12"/>
      <c r="CV603" s="12"/>
      <c r="CW603" s="12"/>
      <c r="CZ603" s="12"/>
      <c r="DA603" s="12"/>
      <c r="DC603" s="12"/>
      <c r="DD603" s="12"/>
      <c r="EX603" s="9"/>
      <c r="EY603" s="9"/>
      <c r="EZ603" s="9"/>
      <c r="FA603" s="15"/>
      <c r="FB603" s="14"/>
      <c r="FC603" s="10"/>
      <c r="FD603" s="10"/>
      <c r="FE603" s="10"/>
      <c r="FF603" s="10"/>
    </row>
    <row r="604" spans="36:162" x14ac:dyDescent="0.25">
      <c r="AJ604" s="12"/>
      <c r="AK604" s="12"/>
      <c r="AQ604" s="12"/>
      <c r="AR604" s="12"/>
      <c r="AU604" s="12"/>
      <c r="AV604" s="12"/>
      <c r="AX604" s="12"/>
      <c r="AY604" s="12"/>
      <c r="BA604" s="12"/>
      <c r="BB604" s="12"/>
      <c r="BD604" s="12"/>
      <c r="BE604" s="12"/>
      <c r="BG604" s="12"/>
      <c r="BH604" s="12"/>
      <c r="BJ604" s="12"/>
      <c r="BK604" s="12"/>
      <c r="BM604" s="12"/>
      <c r="BN604" s="12"/>
      <c r="BQ604" s="12"/>
      <c r="BR604" s="12"/>
      <c r="BU604" s="12"/>
      <c r="BV604" s="12"/>
      <c r="BY604" s="12"/>
      <c r="BZ604" s="12"/>
      <c r="CC604" s="12"/>
      <c r="CD604" s="12"/>
      <c r="CG604" s="12"/>
      <c r="CH604" s="12"/>
      <c r="CJ604" s="12"/>
      <c r="CK604" s="12"/>
      <c r="CN604" s="12"/>
      <c r="CO604" s="12"/>
      <c r="CV604" s="12"/>
      <c r="CW604" s="12"/>
      <c r="CZ604" s="12"/>
      <c r="DA604" s="12"/>
      <c r="DC604" s="12"/>
      <c r="DD604" s="12"/>
      <c r="EX604" s="9"/>
      <c r="EY604" s="9"/>
      <c r="EZ604" s="9"/>
      <c r="FA604" s="15"/>
      <c r="FB604" s="14"/>
      <c r="FC604" s="10"/>
      <c r="FD604" s="10"/>
      <c r="FE604" s="10"/>
      <c r="FF604" s="10"/>
    </row>
    <row r="605" spans="36:162" x14ac:dyDescent="0.25">
      <c r="AJ605" s="12"/>
      <c r="AK605" s="12"/>
      <c r="AQ605" s="12"/>
      <c r="AR605" s="12"/>
      <c r="AU605" s="12"/>
      <c r="AV605" s="12"/>
      <c r="AX605" s="12"/>
      <c r="AY605" s="12"/>
      <c r="BA605" s="12"/>
      <c r="BB605" s="12"/>
      <c r="BD605" s="12"/>
      <c r="BE605" s="12"/>
      <c r="BG605" s="12"/>
      <c r="BH605" s="12"/>
      <c r="BJ605" s="12"/>
      <c r="BK605" s="12"/>
      <c r="BM605" s="12"/>
      <c r="BN605" s="12"/>
      <c r="BQ605" s="12"/>
      <c r="BR605" s="12"/>
      <c r="BU605" s="12"/>
      <c r="BV605" s="12"/>
      <c r="BY605" s="12"/>
      <c r="BZ605" s="12"/>
      <c r="CC605" s="12"/>
      <c r="CD605" s="12"/>
      <c r="CG605" s="12"/>
      <c r="CH605" s="12"/>
      <c r="CJ605" s="12"/>
      <c r="CK605" s="12"/>
      <c r="CN605" s="12"/>
      <c r="CO605" s="12"/>
      <c r="CV605" s="12"/>
      <c r="CW605" s="12"/>
      <c r="CZ605" s="12"/>
      <c r="DA605" s="12"/>
      <c r="DC605" s="12"/>
      <c r="DD605" s="12"/>
      <c r="EX605" s="9"/>
      <c r="EY605" s="9"/>
      <c r="EZ605" s="9"/>
      <c r="FA605" s="15"/>
      <c r="FB605" s="14"/>
      <c r="FC605" s="10"/>
      <c r="FD605" s="10"/>
      <c r="FE605" s="10"/>
      <c r="FF605" s="10"/>
    </row>
    <row r="606" spans="36:162" x14ac:dyDescent="0.25">
      <c r="AJ606" s="12"/>
      <c r="AK606" s="12"/>
      <c r="AQ606" s="12"/>
      <c r="AR606" s="12"/>
      <c r="AU606" s="12"/>
      <c r="AV606" s="12"/>
      <c r="AX606" s="12"/>
      <c r="AY606" s="12"/>
      <c r="BA606" s="12"/>
      <c r="BB606" s="12"/>
      <c r="BD606" s="12"/>
      <c r="BE606" s="12"/>
      <c r="BG606" s="12"/>
      <c r="BH606" s="12"/>
      <c r="BJ606" s="12"/>
      <c r="BK606" s="12"/>
      <c r="BM606" s="12"/>
      <c r="BN606" s="12"/>
      <c r="BQ606" s="12"/>
      <c r="BR606" s="12"/>
      <c r="BU606" s="12"/>
      <c r="BV606" s="12"/>
      <c r="BY606" s="12"/>
      <c r="BZ606" s="12"/>
      <c r="CC606" s="12"/>
      <c r="CD606" s="12"/>
      <c r="CG606" s="12"/>
      <c r="CH606" s="12"/>
      <c r="CJ606" s="12"/>
      <c r="CK606" s="12"/>
      <c r="CN606" s="12"/>
      <c r="CO606" s="12"/>
      <c r="CV606" s="12"/>
      <c r="CW606" s="12"/>
      <c r="CZ606" s="12"/>
      <c r="DA606" s="12"/>
      <c r="DC606" s="12"/>
      <c r="DD606" s="12"/>
      <c r="EX606" s="9"/>
      <c r="EY606" s="9"/>
      <c r="EZ606" s="9"/>
      <c r="FA606" s="15"/>
      <c r="FB606" s="14"/>
      <c r="FC606" s="10"/>
      <c r="FD606" s="10"/>
      <c r="FE606" s="10"/>
      <c r="FF606" s="10"/>
    </row>
    <row r="607" spans="36:162" x14ac:dyDescent="0.25">
      <c r="AJ607" s="12"/>
      <c r="AK607" s="12"/>
      <c r="AQ607" s="12"/>
      <c r="AR607" s="12"/>
      <c r="AU607" s="12"/>
      <c r="AV607" s="12"/>
      <c r="AX607" s="12"/>
      <c r="AY607" s="12"/>
      <c r="BA607" s="12"/>
      <c r="BB607" s="12"/>
      <c r="BD607" s="12"/>
      <c r="BE607" s="12"/>
      <c r="BG607" s="12"/>
      <c r="BH607" s="12"/>
      <c r="BJ607" s="12"/>
      <c r="BK607" s="12"/>
      <c r="BM607" s="12"/>
      <c r="BN607" s="12"/>
      <c r="BQ607" s="12"/>
      <c r="BR607" s="12"/>
      <c r="BU607" s="12"/>
      <c r="BV607" s="12"/>
      <c r="BY607" s="12"/>
      <c r="BZ607" s="12"/>
      <c r="CC607" s="12"/>
      <c r="CD607" s="12"/>
      <c r="CG607" s="12"/>
      <c r="CH607" s="12"/>
      <c r="CJ607" s="12"/>
      <c r="CK607" s="12"/>
      <c r="CN607" s="12"/>
      <c r="CO607" s="12"/>
      <c r="CV607" s="12"/>
      <c r="CW607" s="12"/>
      <c r="CZ607" s="12"/>
      <c r="DA607" s="12"/>
      <c r="DC607" s="12"/>
      <c r="DD607" s="12"/>
      <c r="EX607" s="9"/>
      <c r="EY607" s="9"/>
      <c r="EZ607" s="9"/>
      <c r="FA607" s="15"/>
      <c r="FB607" s="14"/>
      <c r="FC607" s="10"/>
      <c r="FD607" s="10"/>
      <c r="FE607" s="10"/>
      <c r="FF607" s="10"/>
    </row>
    <row r="608" spans="36:162" x14ac:dyDescent="0.25">
      <c r="AJ608" s="12"/>
      <c r="AK608" s="12"/>
      <c r="AQ608" s="12"/>
      <c r="AR608" s="12"/>
      <c r="AU608" s="12"/>
      <c r="AV608" s="12"/>
      <c r="AX608" s="12"/>
      <c r="AY608" s="12"/>
      <c r="BA608" s="12"/>
      <c r="BB608" s="12"/>
      <c r="BD608" s="12"/>
      <c r="BE608" s="12"/>
      <c r="BG608" s="12"/>
      <c r="BH608" s="12"/>
      <c r="BJ608" s="12"/>
      <c r="BK608" s="12"/>
      <c r="BM608" s="12"/>
      <c r="BN608" s="12"/>
      <c r="BQ608" s="12"/>
      <c r="BR608" s="12"/>
      <c r="BU608" s="12"/>
      <c r="BV608" s="12"/>
      <c r="BY608" s="12"/>
      <c r="BZ608" s="12"/>
      <c r="CC608" s="12"/>
      <c r="CD608" s="12"/>
      <c r="CG608" s="12"/>
      <c r="CH608" s="12"/>
      <c r="CJ608" s="12"/>
      <c r="CK608" s="12"/>
      <c r="CN608" s="12"/>
      <c r="CO608" s="12"/>
      <c r="CV608" s="12"/>
      <c r="CW608" s="12"/>
      <c r="CZ608" s="12"/>
      <c r="DA608" s="12"/>
      <c r="DC608" s="12"/>
      <c r="DD608" s="12"/>
      <c r="EX608" s="9"/>
      <c r="EY608" s="9"/>
      <c r="EZ608" s="9"/>
      <c r="FA608" s="15"/>
      <c r="FB608" s="14"/>
      <c r="FC608" s="10"/>
      <c r="FD608" s="10"/>
      <c r="FE608" s="10"/>
      <c r="FF608" s="10"/>
    </row>
    <row r="609" spans="36:162" x14ac:dyDescent="0.25">
      <c r="AJ609" s="12"/>
      <c r="AK609" s="12"/>
      <c r="AQ609" s="12"/>
      <c r="AR609" s="12"/>
      <c r="AU609" s="12"/>
      <c r="AV609" s="12"/>
      <c r="AX609" s="12"/>
      <c r="AY609" s="12"/>
      <c r="BA609" s="12"/>
      <c r="BB609" s="12"/>
      <c r="BD609" s="12"/>
      <c r="BE609" s="12"/>
      <c r="BG609" s="12"/>
      <c r="BH609" s="12"/>
      <c r="BJ609" s="12"/>
      <c r="BK609" s="12"/>
      <c r="BM609" s="12"/>
      <c r="BN609" s="12"/>
      <c r="BQ609" s="12"/>
      <c r="BR609" s="12"/>
      <c r="BU609" s="12"/>
      <c r="BV609" s="12"/>
      <c r="BY609" s="12"/>
      <c r="BZ609" s="12"/>
      <c r="CC609" s="12"/>
      <c r="CD609" s="12"/>
      <c r="CG609" s="12"/>
      <c r="CH609" s="12"/>
      <c r="CJ609" s="12"/>
      <c r="CK609" s="12"/>
      <c r="CN609" s="12"/>
      <c r="CO609" s="12"/>
      <c r="CV609" s="12"/>
      <c r="CW609" s="12"/>
      <c r="CZ609" s="12"/>
      <c r="DA609" s="12"/>
      <c r="DC609" s="12"/>
      <c r="DD609" s="12"/>
      <c r="EX609" s="9"/>
      <c r="EY609" s="9"/>
      <c r="EZ609" s="9"/>
      <c r="FA609" s="15"/>
      <c r="FB609" s="14"/>
      <c r="FC609" s="10"/>
      <c r="FD609" s="10"/>
      <c r="FE609" s="10"/>
      <c r="FF609" s="10"/>
    </row>
    <row r="610" spans="36:162" x14ac:dyDescent="0.25">
      <c r="AJ610" s="12"/>
      <c r="AK610" s="12"/>
      <c r="AQ610" s="12"/>
      <c r="AR610" s="12"/>
      <c r="AU610" s="12"/>
      <c r="AV610" s="12"/>
      <c r="AX610" s="12"/>
      <c r="AY610" s="12"/>
      <c r="BA610" s="12"/>
      <c r="BB610" s="12"/>
      <c r="BD610" s="12"/>
      <c r="BE610" s="12"/>
      <c r="BG610" s="12"/>
      <c r="BH610" s="12"/>
      <c r="BJ610" s="12"/>
      <c r="BK610" s="12"/>
      <c r="BM610" s="12"/>
      <c r="BN610" s="12"/>
      <c r="BQ610" s="12"/>
      <c r="BR610" s="12"/>
      <c r="BU610" s="12"/>
      <c r="BV610" s="12"/>
      <c r="BY610" s="12"/>
      <c r="BZ610" s="12"/>
      <c r="CC610" s="12"/>
      <c r="CD610" s="12"/>
      <c r="CG610" s="12"/>
      <c r="CH610" s="12"/>
      <c r="CJ610" s="12"/>
      <c r="CK610" s="12"/>
      <c r="CN610" s="12"/>
      <c r="CO610" s="12"/>
      <c r="CV610" s="12"/>
      <c r="CW610" s="12"/>
      <c r="CZ610" s="12"/>
      <c r="DA610" s="12"/>
      <c r="DC610" s="12"/>
      <c r="DD610" s="12"/>
      <c r="EX610" s="9"/>
      <c r="EY610" s="9"/>
      <c r="EZ610" s="9"/>
      <c r="FA610" s="15"/>
      <c r="FB610" s="14"/>
      <c r="FC610" s="10"/>
      <c r="FD610" s="10"/>
      <c r="FE610" s="10"/>
      <c r="FF610" s="10"/>
    </row>
    <row r="611" spans="36:162" x14ac:dyDescent="0.25">
      <c r="AJ611" s="12"/>
      <c r="AK611" s="12"/>
      <c r="AQ611" s="12"/>
      <c r="AR611" s="12"/>
      <c r="AU611" s="12"/>
      <c r="AV611" s="12"/>
      <c r="AX611" s="12"/>
      <c r="AY611" s="12"/>
      <c r="BA611" s="12"/>
      <c r="BB611" s="12"/>
      <c r="BD611" s="12"/>
      <c r="BE611" s="12"/>
      <c r="BG611" s="12"/>
      <c r="BH611" s="12"/>
      <c r="BJ611" s="12"/>
      <c r="BK611" s="12"/>
      <c r="BM611" s="12"/>
      <c r="BN611" s="12"/>
      <c r="BQ611" s="12"/>
      <c r="BR611" s="12"/>
      <c r="BU611" s="12"/>
      <c r="BV611" s="12"/>
      <c r="BY611" s="12"/>
      <c r="BZ611" s="12"/>
      <c r="CC611" s="12"/>
      <c r="CD611" s="12"/>
      <c r="CG611" s="12"/>
      <c r="CH611" s="12"/>
      <c r="CJ611" s="12"/>
      <c r="CK611" s="12"/>
      <c r="CN611" s="12"/>
      <c r="CO611" s="12"/>
      <c r="CV611" s="12"/>
      <c r="CW611" s="12"/>
      <c r="CZ611" s="12"/>
      <c r="DA611" s="12"/>
      <c r="DC611" s="12"/>
      <c r="DD611" s="12"/>
      <c r="EX611" s="9"/>
      <c r="EY611" s="9"/>
      <c r="EZ611" s="9"/>
      <c r="FA611" s="15"/>
      <c r="FB611" s="14"/>
      <c r="FC611" s="10"/>
      <c r="FD611" s="10"/>
      <c r="FE611" s="10"/>
      <c r="FF611" s="10"/>
    </row>
    <row r="612" spans="36:162" x14ac:dyDescent="0.25">
      <c r="AJ612" s="12"/>
      <c r="AK612" s="12"/>
      <c r="AQ612" s="12"/>
      <c r="AR612" s="12"/>
      <c r="AU612" s="12"/>
      <c r="AV612" s="12"/>
      <c r="AX612" s="12"/>
      <c r="AY612" s="12"/>
      <c r="BA612" s="12"/>
      <c r="BB612" s="12"/>
      <c r="BD612" s="12"/>
      <c r="BE612" s="12"/>
      <c r="BG612" s="12"/>
      <c r="BH612" s="12"/>
      <c r="BJ612" s="12"/>
      <c r="BK612" s="12"/>
      <c r="BM612" s="12"/>
      <c r="BN612" s="12"/>
      <c r="BQ612" s="12"/>
      <c r="BR612" s="12"/>
      <c r="BU612" s="12"/>
      <c r="BV612" s="12"/>
      <c r="BY612" s="12"/>
      <c r="BZ612" s="12"/>
      <c r="CC612" s="12"/>
      <c r="CD612" s="12"/>
      <c r="CG612" s="12"/>
      <c r="CH612" s="12"/>
      <c r="CJ612" s="12"/>
      <c r="CK612" s="12"/>
      <c r="CN612" s="12"/>
      <c r="CO612" s="12"/>
      <c r="CV612" s="12"/>
      <c r="CW612" s="12"/>
      <c r="CZ612" s="12"/>
      <c r="DA612" s="12"/>
      <c r="DC612" s="12"/>
      <c r="DD612" s="12"/>
      <c r="EX612" s="9"/>
      <c r="EY612" s="9"/>
      <c r="EZ612" s="9"/>
      <c r="FA612" s="15"/>
      <c r="FB612" s="14"/>
      <c r="FC612" s="10"/>
      <c r="FD612" s="10"/>
      <c r="FE612" s="10"/>
      <c r="FF612" s="10"/>
    </row>
    <row r="613" spans="36:162" x14ac:dyDescent="0.25">
      <c r="AJ613" s="12"/>
      <c r="AK613" s="12"/>
      <c r="AQ613" s="12"/>
      <c r="AR613" s="12"/>
      <c r="AU613" s="12"/>
      <c r="AV613" s="12"/>
      <c r="AX613" s="12"/>
      <c r="AY613" s="12"/>
      <c r="BA613" s="12"/>
      <c r="BB613" s="12"/>
      <c r="BD613" s="12"/>
      <c r="BE613" s="12"/>
      <c r="BG613" s="12"/>
      <c r="BH613" s="12"/>
      <c r="BJ613" s="12"/>
      <c r="BK613" s="12"/>
      <c r="BM613" s="12"/>
      <c r="BN613" s="12"/>
      <c r="BQ613" s="12"/>
      <c r="BR613" s="12"/>
      <c r="BU613" s="12"/>
      <c r="BV613" s="12"/>
      <c r="BY613" s="12"/>
      <c r="BZ613" s="12"/>
      <c r="CC613" s="12"/>
      <c r="CD613" s="12"/>
      <c r="CG613" s="12"/>
      <c r="CH613" s="12"/>
      <c r="CJ613" s="12"/>
      <c r="CK613" s="12"/>
      <c r="CN613" s="12"/>
      <c r="CO613" s="12"/>
      <c r="CV613" s="12"/>
      <c r="CW613" s="12"/>
      <c r="CZ613" s="12"/>
      <c r="DA613" s="12"/>
      <c r="DC613" s="12"/>
      <c r="DD613" s="12"/>
      <c r="EX613" s="9"/>
      <c r="EY613" s="9"/>
      <c r="EZ613" s="9"/>
      <c r="FA613" s="15"/>
      <c r="FB613" s="14"/>
      <c r="FC613" s="10"/>
      <c r="FD613" s="10"/>
      <c r="FE613" s="10"/>
      <c r="FF613" s="10"/>
    </row>
    <row r="614" spans="36:162" x14ac:dyDescent="0.25">
      <c r="AJ614" s="12"/>
      <c r="AK614" s="12"/>
      <c r="AQ614" s="12"/>
      <c r="AR614" s="12"/>
      <c r="AU614" s="12"/>
      <c r="AV614" s="12"/>
      <c r="AX614" s="12"/>
      <c r="AY614" s="12"/>
      <c r="BA614" s="12"/>
      <c r="BB614" s="12"/>
      <c r="BD614" s="12"/>
      <c r="BE614" s="12"/>
      <c r="BG614" s="12"/>
      <c r="BH614" s="12"/>
      <c r="BJ614" s="12"/>
      <c r="BK614" s="12"/>
      <c r="BM614" s="12"/>
      <c r="BN614" s="12"/>
      <c r="BQ614" s="12"/>
      <c r="BR614" s="12"/>
      <c r="BU614" s="12"/>
      <c r="BV614" s="12"/>
      <c r="BY614" s="12"/>
      <c r="BZ614" s="12"/>
      <c r="CC614" s="12"/>
      <c r="CD614" s="12"/>
      <c r="CG614" s="12"/>
      <c r="CH614" s="12"/>
      <c r="CJ614" s="12"/>
      <c r="CK614" s="12"/>
      <c r="CN614" s="12"/>
      <c r="CO614" s="12"/>
      <c r="CV614" s="12"/>
      <c r="CW614" s="12"/>
      <c r="CZ614" s="12"/>
      <c r="DA614" s="12"/>
      <c r="DC614" s="12"/>
      <c r="DD614" s="12"/>
      <c r="EX614" s="9"/>
      <c r="EY614" s="9"/>
      <c r="EZ614" s="9"/>
      <c r="FA614" s="15"/>
      <c r="FB614" s="14"/>
      <c r="FC614" s="10"/>
      <c r="FD614" s="10"/>
      <c r="FE614" s="10"/>
      <c r="FF614" s="10"/>
    </row>
    <row r="615" spans="36:162" x14ac:dyDescent="0.25">
      <c r="AJ615" s="12"/>
      <c r="AK615" s="12"/>
      <c r="AQ615" s="12"/>
      <c r="AR615" s="12"/>
      <c r="AU615" s="12"/>
      <c r="AV615" s="12"/>
      <c r="AX615" s="12"/>
      <c r="AY615" s="12"/>
      <c r="BA615" s="12"/>
      <c r="BB615" s="12"/>
      <c r="BD615" s="12"/>
      <c r="BE615" s="12"/>
      <c r="BG615" s="12"/>
      <c r="BH615" s="12"/>
      <c r="BJ615" s="12"/>
      <c r="BK615" s="12"/>
      <c r="BM615" s="12"/>
      <c r="BN615" s="12"/>
      <c r="BQ615" s="12"/>
      <c r="BR615" s="12"/>
      <c r="BU615" s="12"/>
      <c r="BV615" s="12"/>
      <c r="BY615" s="12"/>
      <c r="BZ615" s="12"/>
      <c r="CC615" s="12"/>
      <c r="CD615" s="12"/>
      <c r="CG615" s="12"/>
      <c r="CH615" s="12"/>
      <c r="CJ615" s="12"/>
      <c r="CK615" s="12"/>
      <c r="CN615" s="12"/>
      <c r="CO615" s="12"/>
      <c r="CV615" s="12"/>
      <c r="CW615" s="12"/>
      <c r="CZ615" s="12"/>
      <c r="DA615" s="12"/>
      <c r="DC615" s="12"/>
      <c r="DD615" s="12"/>
      <c r="EX615" s="9"/>
      <c r="EY615" s="9"/>
      <c r="EZ615" s="9"/>
      <c r="FA615" s="15"/>
      <c r="FB615" s="14"/>
      <c r="FC615" s="10"/>
      <c r="FD615" s="10"/>
      <c r="FE615" s="10"/>
      <c r="FF615" s="10"/>
    </row>
    <row r="616" spans="36:162" x14ac:dyDescent="0.25">
      <c r="AJ616" s="12"/>
      <c r="AK616" s="12"/>
      <c r="AQ616" s="12"/>
      <c r="AR616" s="12"/>
      <c r="AU616" s="12"/>
      <c r="AV616" s="12"/>
      <c r="AX616" s="12"/>
      <c r="AY616" s="12"/>
      <c r="BA616" s="12"/>
      <c r="BB616" s="12"/>
      <c r="BD616" s="12"/>
      <c r="BE616" s="12"/>
      <c r="BG616" s="12"/>
      <c r="BH616" s="12"/>
      <c r="BJ616" s="12"/>
      <c r="BK616" s="12"/>
      <c r="BM616" s="12"/>
      <c r="BN616" s="12"/>
      <c r="BQ616" s="12"/>
      <c r="BR616" s="12"/>
      <c r="BU616" s="12"/>
      <c r="BV616" s="12"/>
      <c r="BY616" s="12"/>
      <c r="BZ616" s="12"/>
      <c r="CC616" s="12"/>
      <c r="CD616" s="12"/>
      <c r="CG616" s="12"/>
      <c r="CH616" s="12"/>
      <c r="CJ616" s="12"/>
      <c r="CK616" s="12"/>
      <c r="CN616" s="12"/>
      <c r="CO616" s="12"/>
      <c r="CV616" s="12"/>
      <c r="CW616" s="12"/>
      <c r="CZ616" s="12"/>
      <c r="DA616" s="12"/>
      <c r="DC616" s="12"/>
      <c r="DD616" s="12"/>
      <c r="EX616" s="9"/>
      <c r="EY616" s="9"/>
      <c r="EZ616" s="9"/>
      <c r="FA616" s="15"/>
      <c r="FB616" s="14"/>
      <c r="FC616" s="10"/>
      <c r="FD616" s="10"/>
      <c r="FE616" s="10"/>
      <c r="FF616" s="10"/>
    </row>
    <row r="617" spans="36:162" x14ac:dyDescent="0.25">
      <c r="AJ617" s="12"/>
      <c r="AK617" s="12"/>
      <c r="AQ617" s="12"/>
      <c r="AR617" s="12"/>
      <c r="AU617" s="12"/>
      <c r="AV617" s="12"/>
      <c r="AX617" s="12"/>
      <c r="AY617" s="12"/>
      <c r="BA617" s="12"/>
      <c r="BB617" s="12"/>
      <c r="BD617" s="12"/>
      <c r="BE617" s="12"/>
      <c r="BG617" s="12"/>
      <c r="BH617" s="12"/>
      <c r="BJ617" s="12"/>
      <c r="BK617" s="12"/>
      <c r="BM617" s="12"/>
      <c r="BN617" s="12"/>
      <c r="BQ617" s="12"/>
      <c r="BR617" s="12"/>
      <c r="BU617" s="12"/>
      <c r="BV617" s="12"/>
      <c r="BY617" s="12"/>
      <c r="BZ617" s="12"/>
      <c r="CC617" s="12"/>
      <c r="CD617" s="12"/>
      <c r="CG617" s="12"/>
      <c r="CH617" s="12"/>
      <c r="CJ617" s="12"/>
      <c r="CK617" s="12"/>
      <c r="CN617" s="12"/>
      <c r="CO617" s="12"/>
      <c r="CV617" s="12"/>
      <c r="CW617" s="12"/>
      <c r="CZ617" s="12"/>
      <c r="DA617" s="12"/>
      <c r="DC617" s="12"/>
      <c r="DD617" s="12"/>
      <c r="EX617" s="9"/>
      <c r="EY617" s="9"/>
      <c r="EZ617" s="9"/>
      <c r="FA617" s="15"/>
      <c r="FB617" s="14"/>
      <c r="FC617" s="10"/>
      <c r="FD617" s="10"/>
      <c r="FE617" s="10"/>
      <c r="FF617" s="10"/>
    </row>
    <row r="618" spans="36:162" x14ac:dyDescent="0.25">
      <c r="AJ618" s="12"/>
      <c r="AK618" s="12"/>
      <c r="AQ618" s="12"/>
      <c r="AR618" s="12"/>
      <c r="AU618" s="12"/>
      <c r="AV618" s="12"/>
      <c r="AX618" s="12"/>
      <c r="AY618" s="12"/>
      <c r="BA618" s="12"/>
      <c r="BB618" s="12"/>
      <c r="BD618" s="12"/>
      <c r="BE618" s="12"/>
      <c r="BG618" s="12"/>
      <c r="BH618" s="12"/>
      <c r="BJ618" s="12"/>
      <c r="BK618" s="12"/>
      <c r="BM618" s="12"/>
      <c r="BN618" s="12"/>
      <c r="BQ618" s="12"/>
      <c r="BR618" s="12"/>
      <c r="BU618" s="12"/>
      <c r="BV618" s="12"/>
      <c r="BY618" s="12"/>
      <c r="BZ618" s="12"/>
      <c r="CC618" s="12"/>
      <c r="CD618" s="12"/>
      <c r="CG618" s="12"/>
      <c r="CH618" s="12"/>
      <c r="CJ618" s="12"/>
      <c r="CK618" s="12"/>
      <c r="CN618" s="12"/>
      <c r="CO618" s="12"/>
      <c r="CV618" s="12"/>
      <c r="CW618" s="12"/>
      <c r="CZ618" s="12"/>
      <c r="DA618" s="12"/>
      <c r="DC618" s="12"/>
      <c r="DD618" s="12"/>
      <c r="EX618" s="9"/>
      <c r="EY618" s="9"/>
      <c r="EZ618" s="9"/>
      <c r="FA618" s="15"/>
      <c r="FB618" s="14"/>
      <c r="FC618" s="10"/>
      <c r="FD618" s="10"/>
      <c r="FE618" s="10"/>
      <c r="FF618" s="10"/>
    </row>
    <row r="619" spans="36:162" x14ac:dyDescent="0.25">
      <c r="AJ619" s="12"/>
      <c r="AK619" s="12"/>
      <c r="AQ619" s="12"/>
      <c r="AR619" s="12"/>
      <c r="AU619" s="12"/>
      <c r="AV619" s="12"/>
      <c r="AX619" s="12"/>
      <c r="AY619" s="12"/>
      <c r="BA619" s="12"/>
      <c r="BB619" s="12"/>
      <c r="BD619" s="12"/>
      <c r="BE619" s="12"/>
      <c r="BG619" s="12"/>
      <c r="BH619" s="12"/>
      <c r="BJ619" s="12"/>
      <c r="BK619" s="12"/>
      <c r="BM619" s="12"/>
      <c r="BN619" s="12"/>
      <c r="BQ619" s="12"/>
      <c r="BR619" s="12"/>
      <c r="BU619" s="12"/>
      <c r="BV619" s="12"/>
      <c r="BY619" s="12"/>
      <c r="BZ619" s="12"/>
      <c r="CC619" s="12"/>
      <c r="CD619" s="12"/>
      <c r="CG619" s="12"/>
      <c r="CH619" s="12"/>
      <c r="CJ619" s="12"/>
      <c r="CK619" s="12"/>
      <c r="CN619" s="12"/>
      <c r="CO619" s="12"/>
      <c r="CV619" s="12"/>
      <c r="CW619" s="12"/>
      <c r="CZ619" s="12"/>
      <c r="DA619" s="12"/>
      <c r="DC619" s="12"/>
      <c r="DD619" s="12"/>
      <c r="EX619" s="9"/>
      <c r="EY619" s="9"/>
      <c r="EZ619" s="9"/>
      <c r="FA619" s="15"/>
      <c r="FB619" s="14"/>
      <c r="FC619" s="10"/>
      <c r="FD619" s="10"/>
      <c r="FE619" s="10"/>
      <c r="FF619" s="10"/>
    </row>
    <row r="620" spans="36:162" x14ac:dyDescent="0.25">
      <c r="AJ620" s="12"/>
      <c r="AK620" s="12"/>
      <c r="AQ620" s="12"/>
      <c r="AR620" s="12"/>
      <c r="AU620" s="12"/>
      <c r="AV620" s="12"/>
      <c r="AX620" s="12"/>
      <c r="AY620" s="12"/>
      <c r="BA620" s="12"/>
      <c r="BB620" s="12"/>
      <c r="BD620" s="12"/>
      <c r="BE620" s="12"/>
      <c r="BG620" s="12"/>
      <c r="BH620" s="12"/>
      <c r="BJ620" s="12"/>
      <c r="BK620" s="12"/>
      <c r="BM620" s="12"/>
      <c r="BN620" s="12"/>
      <c r="BQ620" s="12"/>
      <c r="BR620" s="12"/>
      <c r="BU620" s="12"/>
      <c r="BV620" s="12"/>
      <c r="BY620" s="12"/>
      <c r="BZ620" s="12"/>
      <c r="CC620" s="12"/>
      <c r="CD620" s="12"/>
      <c r="CG620" s="12"/>
      <c r="CH620" s="12"/>
      <c r="CJ620" s="12"/>
      <c r="CK620" s="12"/>
      <c r="CN620" s="12"/>
      <c r="CO620" s="12"/>
      <c r="CV620" s="12"/>
      <c r="CW620" s="12"/>
      <c r="CZ620" s="12"/>
      <c r="DA620" s="12"/>
      <c r="DC620" s="12"/>
      <c r="DD620" s="12"/>
      <c r="EX620" s="9"/>
      <c r="EY620" s="9"/>
      <c r="EZ620" s="9"/>
      <c r="FA620" s="15"/>
      <c r="FB620" s="14"/>
      <c r="FC620" s="10"/>
      <c r="FD620" s="10"/>
      <c r="FE620" s="10"/>
      <c r="FF620" s="10"/>
    </row>
    <row r="621" spans="36:162" x14ac:dyDescent="0.25">
      <c r="AJ621" s="12"/>
      <c r="AK621" s="12"/>
      <c r="AQ621" s="12"/>
      <c r="AR621" s="12"/>
      <c r="AU621" s="12"/>
      <c r="AV621" s="12"/>
      <c r="AX621" s="12"/>
      <c r="AY621" s="12"/>
      <c r="BA621" s="12"/>
      <c r="BB621" s="12"/>
      <c r="BD621" s="12"/>
      <c r="BE621" s="12"/>
      <c r="BG621" s="12"/>
      <c r="BH621" s="12"/>
      <c r="BJ621" s="12"/>
      <c r="BK621" s="12"/>
      <c r="BM621" s="12"/>
      <c r="BN621" s="12"/>
      <c r="BQ621" s="12"/>
      <c r="BR621" s="12"/>
      <c r="BU621" s="12"/>
      <c r="BV621" s="12"/>
      <c r="BY621" s="12"/>
      <c r="BZ621" s="12"/>
      <c r="CC621" s="12"/>
      <c r="CD621" s="12"/>
      <c r="CG621" s="12"/>
      <c r="CH621" s="12"/>
      <c r="CJ621" s="12"/>
      <c r="CK621" s="12"/>
      <c r="CN621" s="12"/>
      <c r="CO621" s="12"/>
      <c r="CV621" s="12"/>
      <c r="CW621" s="12"/>
      <c r="CZ621" s="12"/>
      <c r="DA621" s="12"/>
      <c r="DC621" s="12"/>
      <c r="DD621" s="12"/>
      <c r="EX621" s="9"/>
      <c r="EY621" s="9"/>
      <c r="EZ621" s="9"/>
      <c r="FA621" s="15"/>
      <c r="FB621" s="14"/>
      <c r="FC621" s="10"/>
      <c r="FD621" s="10"/>
      <c r="FE621" s="10"/>
      <c r="FF621" s="10"/>
    </row>
    <row r="622" spans="36:162" x14ac:dyDescent="0.25">
      <c r="AJ622" s="12"/>
      <c r="AK622" s="12"/>
      <c r="AQ622" s="12"/>
      <c r="AR622" s="12"/>
      <c r="AU622" s="12"/>
      <c r="AV622" s="12"/>
      <c r="AX622" s="12"/>
      <c r="AY622" s="12"/>
      <c r="BA622" s="12"/>
      <c r="BB622" s="12"/>
      <c r="BD622" s="12"/>
      <c r="BE622" s="12"/>
      <c r="BG622" s="12"/>
      <c r="BH622" s="12"/>
      <c r="BJ622" s="12"/>
      <c r="BK622" s="12"/>
      <c r="BM622" s="12"/>
      <c r="BN622" s="12"/>
      <c r="BQ622" s="12"/>
      <c r="BR622" s="12"/>
      <c r="BU622" s="12"/>
      <c r="BV622" s="12"/>
      <c r="BY622" s="12"/>
      <c r="BZ622" s="12"/>
      <c r="CC622" s="12"/>
      <c r="CD622" s="12"/>
      <c r="CG622" s="12"/>
      <c r="CH622" s="12"/>
      <c r="CJ622" s="12"/>
      <c r="CK622" s="12"/>
      <c r="CN622" s="12"/>
      <c r="CO622" s="12"/>
      <c r="CV622" s="12"/>
      <c r="CW622" s="12"/>
      <c r="CZ622" s="12"/>
      <c r="DA622" s="12"/>
      <c r="DC622" s="12"/>
      <c r="DD622" s="12"/>
      <c r="EX622" s="9"/>
      <c r="EY622" s="9"/>
      <c r="EZ622" s="9"/>
      <c r="FA622" s="15"/>
      <c r="FB622" s="14"/>
      <c r="FC622" s="10"/>
      <c r="FD622" s="10"/>
      <c r="FE622" s="10"/>
      <c r="FF622" s="10"/>
    </row>
    <row r="623" spans="36:162" x14ac:dyDescent="0.25">
      <c r="AJ623" s="12"/>
      <c r="AK623" s="12"/>
      <c r="AQ623" s="12"/>
      <c r="AR623" s="12"/>
      <c r="AU623" s="12"/>
      <c r="AV623" s="12"/>
      <c r="AX623" s="12"/>
      <c r="AY623" s="12"/>
      <c r="BA623" s="12"/>
      <c r="BB623" s="12"/>
      <c r="BD623" s="12"/>
      <c r="BE623" s="12"/>
      <c r="BG623" s="12"/>
      <c r="BH623" s="12"/>
      <c r="BJ623" s="12"/>
      <c r="BK623" s="12"/>
      <c r="BM623" s="12"/>
      <c r="BN623" s="12"/>
      <c r="BQ623" s="12"/>
      <c r="BR623" s="12"/>
      <c r="BU623" s="12"/>
      <c r="BV623" s="12"/>
      <c r="BY623" s="12"/>
      <c r="BZ623" s="12"/>
      <c r="CC623" s="12"/>
      <c r="CD623" s="12"/>
      <c r="CG623" s="12"/>
      <c r="CH623" s="12"/>
      <c r="CJ623" s="12"/>
      <c r="CK623" s="12"/>
      <c r="CN623" s="12"/>
      <c r="CO623" s="12"/>
      <c r="CV623" s="12"/>
      <c r="CW623" s="12"/>
      <c r="CZ623" s="12"/>
      <c r="DA623" s="12"/>
      <c r="DC623" s="12"/>
      <c r="DD623" s="12"/>
      <c r="EX623" s="9"/>
      <c r="EY623" s="9"/>
      <c r="EZ623" s="9"/>
      <c r="FA623" s="15"/>
      <c r="FB623" s="14"/>
      <c r="FC623" s="10"/>
      <c r="FD623" s="10"/>
      <c r="FE623" s="10"/>
      <c r="FF623" s="10"/>
    </row>
    <row r="624" spans="36:162" x14ac:dyDescent="0.25">
      <c r="AJ624" s="12"/>
      <c r="AK624" s="12"/>
      <c r="AQ624" s="12"/>
      <c r="AR624" s="12"/>
      <c r="AU624" s="12"/>
      <c r="AV624" s="12"/>
      <c r="AX624" s="12"/>
      <c r="AY624" s="12"/>
      <c r="BA624" s="12"/>
      <c r="BB624" s="12"/>
      <c r="BD624" s="12"/>
      <c r="BE624" s="12"/>
      <c r="BG624" s="12"/>
      <c r="BH624" s="12"/>
      <c r="BJ624" s="12"/>
      <c r="BK624" s="12"/>
      <c r="BM624" s="12"/>
      <c r="BN624" s="12"/>
      <c r="BQ624" s="12"/>
      <c r="BR624" s="12"/>
      <c r="BU624" s="12"/>
      <c r="BV624" s="12"/>
      <c r="BY624" s="12"/>
      <c r="BZ624" s="12"/>
      <c r="CC624" s="12"/>
      <c r="CD624" s="12"/>
      <c r="CG624" s="12"/>
      <c r="CH624" s="12"/>
      <c r="CJ624" s="12"/>
      <c r="CK624" s="12"/>
      <c r="CN624" s="12"/>
      <c r="CO624" s="12"/>
      <c r="CV624" s="12"/>
      <c r="CW624" s="12"/>
      <c r="CZ624" s="12"/>
      <c r="DA624" s="12"/>
      <c r="DC624" s="12"/>
      <c r="DD624" s="12"/>
      <c r="EX624" s="9"/>
      <c r="EY624" s="9"/>
      <c r="EZ624" s="9"/>
      <c r="FA624" s="15"/>
      <c r="FB624" s="14"/>
      <c r="FC624" s="10"/>
      <c r="FD624" s="10"/>
      <c r="FE624" s="10"/>
      <c r="FF624" s="10"/>
    </row>
    <row r="625" spans="36:162" x14ac:dyDescent="0.25">
      <c r="AJ625" s="12"/>
      <c r="AK625" s="12"/>
      <c r="AQ625" s="12"/>
      <c r="AR625" s="12"/>
      <c r="AU625" s="12"/>
      <c r="AV625" s="12"/>
      <c r="AX625" s="12"/>
      <c r="AY625" s="12"/>
      <c r="BA625" s="12"/>
      <c r="BB625" s="12"/>
      <c r="BD625" s="12"/>
      <c r="BE625" s="12"/>
      <c r="BG625" s="12"/>
      <c r="BH625" s="12"/>
      <c r="BJ625" s="12"/>
      <c r="BK625" s="12"/>
      <c r="BM625" s="12"/>
      <c r="BN625" s="12"/>
      <c r="BQ625" s="12"/>
      <c r="BR625" s="12"/>
      <c r="BU625" s="12"/>
      <c r="BV625" s="12"/>
      <c r="BY625" s="12"/>
      <c r="BZ625" s="12"/>
      <c r="CC625" s="12"/>
      <c r="CD625" s="12"/>
      <c r="CG625" s="12"/>
      <c r="CH625" s="12"/>
      <c r="CJ625" s="12"/>
      <c r="CK625" s="12"/>
      <c r="CN625" s="12"/>
      <c r="CO625" s="12"/>
      <c r="CV625" s="12"/>
      <c r="CW625" s="12"/>
      <c r="CZ625" s="12"/>
      <c r="DA625" s="12"/>
      <c r="DC625" s="12"/>
      <c r="DD625" s="12"/>
      <c r="EX625" s="9"/>
      <c r="EY625" s="9"/>
      <c r="EZ625" s="9"/>
      <c r="FA625" s="15"/>
      <c r="FB625" s="14"/>
      <c r="FC625" s="10"/>
      <c r="FD625" s="10"/>
      <c r="FE625" s="10"/>
      <c r="FF625" s="10"/>
    </row>
    <row r="626" spans="36:162" x14ac:dyDescent="0.25">
      <c r="AJ626" s="12"/>
      <c r="AK626" s="12"/>
      <c r="AQ626" s="12"/>
      <c r="AR626" s="12"/>
      <c r="AU626" s="12"/>
      <c r="AV626" s="12"/>
      <c r="AX626" s="12"/>
      <c r="AY626" s="12"/>
      <c r="BA626" s="12"/>
      <c r="BB626" s="12"/>
      <c r="BD626" s="12"/>
      <c r="BE626" s="12"/>
      <c r="BG626" s="12"/>
      <c r="BH626" s="12"/>
      <c r="BJ626" s="12"/>
      <c r="BK626" s="12"/>
      <c r="BM626" s="12"/>
      <c r="BN626" s="12"/>
      <c r="BQ626" s="12"/>
      <c r="BR626" s="12"/>
      <c r="BU626" s="12"/>
      <c r="BV626" s="12"/>
      <c r="BY626" s="12"/>
      <c r="BZ626" s="12"/>
      <c r="CC626" s="12"/>
      <c r="CD626" s="12"/>
      <c r="CG626" s="12"/>
      <c r="CH626" s="12"/>
      <c r="CJ626" s="12"/>
      <c r="CK626" s="12"/>
      <c r="CN626" s="12"/>
      <c r="CO626" s="12"/>
      <c r="CV626" s="12"/>
      <c r="CW626" s="12"/>
      <c r="CZ626" s="12"/>
      <c r="DA626" s="12"/>
      <c r="DC626" s="12"/>
      <c r="DD626" s="12"/>
      <c r="EX626" s="9"/>
      <c r="EY626" s="9"/>
      <c r="EZ626" s="9"/>
      <c r="FA626" s="15"/>
      <c r="FB626" s="14"/>
      <c r="FC626" s="10"/>
      <c r="FD626" s="10"/>
      <c r="FE626" s="10"/>
      <c r="FF626" s="10"/>
    </row>
    <row r="627" spans="36:162" x14ac:dyDescent="0.25">
      <c r="AJ627" s="12"/>
      <c r="AK627" s="12"/>
      <c r="AQ627" s="12"/>
      <c r="AR627" s="12"/>
      <c r="AU627" s="12"/>
      <c r="AV627" s="12"/>
      <c r="AX627" s="12"/>
      <c r="AY627" s="12"/>
      <c r="BA627" s="12"/>
      <c r="BB627" s="12"/>
      <c r="BD627" s="12"/>
      <c r="BE627" s="12"/>
      <c r="BG627" s="12"/>
      <c r="BH627" s="12"/>
      <c r="BJ627" s="12"/>
      <c r="BK627" s="12"/>
      <c r="BM627" s="12"/>
      <c r="BN627" s="12"/>
      <c r="BQ627" s="12"/>
      <c r="BR627" s="12"/>
      <c r="BU627" s="12"/>
      <c r="BV627" s="12"/>
      <c r="BY627" s="12"/>
      <c r="BZ627" s="12"/>
      <c r="CC627" s="12"/>
      <c r="CD627" s="12"/>
      <c r="CG627" s="12"/>
      <c r="CH627" s="12"/>
      <c r="CJ627" s="12"/>
      <c r="CK627" s="12"/>
      <c r="CN627" s="12"/>
      <c r="CO627" s="12"/>
      <c r="CV627" s="12"/>
      <c r="CW627" s="12"/>
      <c r="CZ627" s="12"/>
      <c r="DA627" s="12"/>
      <c r="DC627" s="12"/>
      <c r="DD627" s="12"/>
      <c r="EX627" s="9"/>
      <c r="EY627" s="9"/>
      <c r="EZ627" s="9"/>
      <c r="FA627" s="15"/>
      <c r="FB627" s="14"/>
      <c r="FC627" s="10"/>
      <c r="FD627" s="10"/>
      <c r="FE627" s="10"/>
      <c r="FF627" s="10"/>
    </row>
    <row r="628" spans="36:162" x14ac:dyDescent="0.25">
      <c r="AJ628" s="12"/>
      <c r="AK628" s="12"/>
      <c r="AQ628" s="12"/>
      <c r="AR628" s="12"/>
      <c r="AU628" s="12"/>
      <c r="AV628" s="12"/>
      <c r="AX628" s="12"/>
      <c r="AY628" s="12"/>
      <c r="BA628" s="12"/>
      <c r="BB628" s="12"/>
      <c r="BD628" s="12"/>
      <c r="BE628" s="12"/>
      <c r="BG628" s="12"/>
      <c r="BH628" s="12"/>
      <c r="BJ628" s="12"/>
      <c r="BK628" s="12"/>
      <c r="BM628" s="12"/>
      <c r="BN628" s="12"/>
      <c r="BQ628" s="12"/>
      <c r="BR628" s="12"/>
      <c r="BU628" s="12"/>
      <c r="BV628" s="12"/>
      <c r="BY628" s="12"/>
      <c r="BZ628" s="12"/>
      <c r="CC628" s="12"/>
      <c r="CD628" s="12"/>
      <c r="CG628" s="12"/>
      <c r="CH628" s="12"/>
      <c r="CJ628" s="12"/>
      <c r="CK628" s="12"/>
      <c r="CN628" s="12"/>
      <c r="CO628" s="12"/>
      <c r="CV628" s="12"/>
      <c r="CW628" s="12"/>
      <c r="CZ628" s="12"/>
      <c r="DA628" s="12"/>
      <c r="DC628" s="12"/>
      <c r="DD628" s="12"/>
      <c r="EX628" s="9"/>
      <c r="EY628" s="9"/>
      <c r="EZ628" s="9"/>
      <c r="FA628" s="15"/>
      <c r="FB628" s="14"/>
      <c r="FC628" s="10"/>
      <c r="FD628" s="10"/>
      <c r="FE628" s="10"/>
      <c r="FF628" s="10"/>
    </row>
    <row r="629" spans="36:162" x14ac:dyDescent="0.25">
      <c r="AJ629" s="12"/>
      <c r="AK629" s="12"/>
      <c r="AQ629" s="12"/>
      <c r="AR629" s="12"/>
      <c r="AU629" s="12"/>
      <c r="AV629" s="12"/>
      <c r="AX629" s="12"/>
      <c r="AY629" s="12"/>
      <c r="BA629" s="12"/>
      <c r="BB629" s="12"/>
      <c r="BD629" s="12"/>
      <c r="BE629" s="12"/>
      <c r="BG629" s="12"/>
      <c r="BH629" s="12"/>
      <c r="BJ629" s="12"/>
      <c r="BK629" s="12"/>
      <c r="BM629" s="12"/>
      <c r="BN629" s="12"/>
      <c r="BQ629" s="12"/>
      <c r="BR629" s="12"/>
      <c r="BU629" s="12"/>
      <c r="BV629" s="12"/>
      <c r="BY629" s="12"/>
      <c r="BZ629" s="12"/>
      <c r="CC629" s="12"/>
      <c r="CD629" s="12"/>
      <c r="CG629" s="12"/>
      <c r="CH629" s="12"/>
      <c r="CJ629" s="12"/>
      <c r="CK629" s="12"/>
      <c r="CN629" s="12"/>
      <c r="CO629" s="12"/>
      <c r="CV629" s="12"/>
      <c r="CW629" s="12"/>
      <c r="CZ629" s="12"/>
      <c r="DA629" s="12"/>
      <c r="DC629" s="12"/>
      <c r="DD629" s="12"/>
      <c r="EX629" s="9"/>
      <c r="EY629" s="9"/>
      <c r="EZ629" s="9"/>
      <c r="FA629" s="15"/>
      <c r="FB629" s="14"/>
      <c r="FC629" s="10"/>
      <c r="FD629" s="10"/>
      <c r="FE629" s="10"/>
      <c r="FF629" s="10"/>
    </row>
    <row r="630" spans="36:162" x14ac:dyDescent="0.25">
      <c r="AJ630" s="12"/>
      <c r="AK630" s="12"/>
      <c r="AQ630" s="12"/>
      <c r="AR630" s="12"/>
      <c r="AU630" s="12"/>
      <c r="AV630" s="12"/>
      <c r="AX630" s="12"/>
      <c r="AY630" s="12"/>
      <c r="BA630" s="12"/>
      <c r="BB630" s="12"/>
      <c r="BD630" s="12"/>
      <c r="BE630" s="12"/>
      <c r="BG630" s="12"/>
      <c r="BH630" s="12"/>
      <c r="BJ630" s="12"/>
      <c r="BK630" s="12"/>
      <c r="BM630" s="12"/>
      <c r="BN630" s="12"/>
      <c r="BQ630" s="12"/>
      <c r="BR630" s="12"/>
      <c r="BU630" s="12"/>
      <c r="BV630" s="12"/>
      <c r="BY630" s="12"/>
      <c r="BZ630" s="12"/>
      <c r="CC630" s="12"/>
      <c r="CD630" s="12"/>
      <c r="CG630" s="12"/>
      <c r="CH630" s="12"/>
      <c r="CJ630" s="12"/>
      <c r="CK630" s="12"/>
      <c r="CN630" s="12"/>
      <c r="CO630" s="12"/>
      <c r="CV630" s="12"/>
      <c r="CW630" s="12"/>
      <c r="CZ630" s="12"/>
      <c r="DA630" s="12"/>
      <c r="DC630" s="12"/>
      <c r="DD630" s="12"/>
      <c r="EX630" s="9"/>
      <c r="EY630" s="9"/>
      <c r="EZ630" s="9"/>
      <c r="FA630" s="15"/>
      <c r="FB630" s="14"/>
      <c r="FC630" s="10"/>
      <c r="FD630" s="10"/>
      <c r="FE630" s="10"/>
      <c r="FF630" s="10"/>
    </row>
    <row r="631" spans="36:162" x14ac:dyDescent="0.25">
      <c r="AJ631" s="12"/>
      <c r="AK631" s="12"/>
      <c r="AQ631" s="12"/>
      <c r="AR631" s="12"/>
      <c r="AU631" s="12"/>
      <c r="AV631" s="12"/>
      <c r="AX631" s="12"/>
      <c r="AY631" s="12"/>
      <c r="BA631" s="12"/>
      <c r="BB631" s="12"/>
      <c r="BD631" s="12"/>
      <c r="BE631" s="12"/>
      <c r="BG631" s="12"/>
      <c r="BH631" s="12"/>
      <c r="BJ631" s="12"/>
      <c r="BK631" s="12"/>
      <c r="BM631" s="12"/>
      <c r="BN631" s="12"/>
      <c r="BQ631" s="12"/>
      <c r="BR631" s="12"/>
      <c r="BU631" s="12"/>
      <c r="BV631" s="12"/>
      <c r="BY631" s="12"/>
      <c r="BZ631" s="12"/>
      <c r="CC631" s="12"/>
      <c r="CD631" s="12"/>
      <c r="CG631" s="12"/>
      <c r="CH631" s="12"/>
      <c r="CJ631" s="12"/>
      <c r="CK631" s="12"/>
      <c r="CN631" s="12"/>
      <c r="CO631" s="12"/>
      <c r="CV631" s="12"/>
      <c r="CW631" s="12"/>
      <c r="CZ631" s="12"/>
      <c r="DA631" s="12"/>
      <c r="DC631" s="12"/>
      <c r="DD631" s="12"/>
      <c r="EX631" s="9"/>
      <c r="EY631" s="9"/>
      <c r="EZ631" s="9"/>
      <c r="FA631" s="15"/>
      <c r="FB631" s="14"/>
      <c r="FC631" s="10"/>
      <c r="FD631" s="10"/>
      <c r="FE631" s="10"/>
      <c r="FF631" s="10"/>
    </row>
    <row r="632" spans="36:162" x14ac:dyDescent="0.25">
      <c r="AJ632" s="12"/>
      <c r="AK632" s="12"/>
      <c r="AQ632" s="12"/>
      <c r="AR632" s="12"/>
      <c r="AU632" s="12"/>
      <c r="AV632" s="12"/>
      <c r="AX632" s="12"/>
      <c r="AY632" s="12"/>
      <c r="BA632" s="12"/>
      <c r="BB632" s="12"/>
      <c r="BD632" s="12"/>
      <c r="BE632" s="12"/>
      <c r="BG632" s="12"/>
      <c r="BH632" s="12"/>
      <c r="BJ632" s="12"/>
      <c r="BK632" s="12"/>
      <c r="BM632" s="12"/>
      <c r="BN632" s="12"/>
      <c r="BQ632" s="12"/>
      <c r="BR632" s="12"/>
      <c r="BU632" s="12"/>
      <c r="BV632" s="12"/>
      <c r="BY632" s="12"/>
      <c r="BZ632" s="12"/>
      <c r="CC632" s="12"/>
      <c r="CD632" s="12"/>
      <c r="CG632" s="12"/>
      <c r="CH632" s="12"/>
      <c r="CJ632" s="12"/>
      <c r="CK632" s="12"/>
      <c r="CN632" s="12"/>
      <c r="CO632" s="12"/>
      <c r="CV632" s="12"/>
      <c r="CW632" s="12"/>
      <c r="CZ632" s="12"/>
      <c r="DA632" s="12"/>
      <c r="DC632" s="12"/>
      <c r="DD632" s="12"/>
      <c r="EX632" s="9"/>
      <c r="EY632" s="9"/>
      <c r="EZ632" s="9"/>
      <c r="FA632" s="15"/>
      <c r="FB632" s="14"/>
      <c r="FC632" s="10"/>
      <c r="FD632" s="10"/>
      <c r="FE632" s="10"/>
      <c r="FF632" s="10"/>
    </row>
    <row r="633" spans="36:162" x14ac:dyDescent="0.25">
      <c r="AJ633" s="12"/>
      <c r="AK633" s="12"/>
      <c r="AQ633" s="12"/>
      <c r="AR633" s="12"/>
      <c r="AU633" s="12"/>
      <c r="AV633" s="12"/>
      <c r="AX633" s="12"/>
      <c r="AY633" s="12"/>
      <c r="BA633" s="12"/>
      <c r="BB633" s="12"/>
      <c r="BD633" s="12"/>
      <c r="BE633" s="12"/>
      <c r="BG633" s="12"/>
      <c r="BH633" s="12"/>
      <c r="BJ633" s="12"/>
      <c r="BK633" s="12"/>
      <c r="BM633" s="12"/>
      <c r="BN633" s="12"/>
      <c r="BQ633" s="12"/>
      <c r="BR633" s="12"/>
      <c r="BU633" s="12"/>
      <c r="BV633" s="12"/>
      <c r="BY633" s="12"/>
      <c r="BZ633" s="12"/>
      <c r="CC633" s="12"/>
      <c r="CD633" s="12"/>
      <c r="CG633" s="12"/>
      <c r="CH633" s="12"/>
      <c r="CJ633" s="12"/>
      <c r="CK633" s="12"/>
      <c r="CN633" s="12"/>
      <c r="CO633" s="12"/>
      <c r="CV633" s="12"/>
      <c r="CW633" s="12"/>
      <c r="CZ633" s="12"/>
      <c r="DA633" s="12"/>
      <c r="DC633" s="12"/>
      <c r="DD633" s="12"/>
      <c r="EX633" s="9"/>
      <c r="EY633" s="9"/>
      <c r="EZ633" s="9"/>
      <c r="FA633" s="15"/>
      <c r="FB633" s="14"/>
      <c r="FC633" s="10"/>
      <c r="FD633" s="10"/>
      <c r="FE633" s="10"/>
      <c r="FF633" s="10"/>
    </row>
    <row r="634" spans="36:162" x14ac:dyDescent="0.25">
      <c r="AJ634" s="12"/>
      <c r="AK634" s="12"/>
      <c r="AQ634" s="12"/>
      <c r="AR634" s="12"/>
      <c r="AU634" s="12"/>
      <c r="AV634" s="12"/>
      <c r="AX634" s="12"/>
      <c r="AY634" s="12"/>
      <c r="BA634" s="12"/>
      <c r="BB634" s="12"/>
      <c r="BD634" s="12"/>
      <c r="BE634" s="12"/>
      <c r="BG634" s="12"/>
      <c r="BH634" s="12"/>
      <c r="BJ634" s="12"/>
      <c r="BK634" s="12"/>
      <c r="BM634" s="12"/>
      <c r="BN634" s="12"/>
      <c r="BQ634" s="12"/>
      <c r="BR634" s="12"/>
      <c r="BU634" s="12"/>
      <c r="BV634" s="12"/>
      <c r="BY634" s="12"/>
      <c r="BZ634" s="12"/>
      <c r="CC634" s="12"/>
      <c r="CD634" s="12"/>
      <c r="CG634" s="12"/>
      <c r="CH634" s="12"/>
      <c r="CJ634" s="12"/>
      <c r="CK634" s="12"/>
      <c r="CN634" s="12"/>
      <c r="CO634" s="12"/>
      <c r="CV634" s="12"/>
      <c r="CW634" s="12"/>
      <c r="CZ634" s="12"/>
      <c r="DA634" s="12"/>
      <c r="DC634" s="12"/>
      <c r="DD634" s="12"/>
      <c r="EX634" s="9"/>
      <c r="EY634" s="9"/>
      <c r="EZ634" s="9"/>
      <c r="FA634" s="15"/>
      <c r="FB634" s="14"/>
      <c r="FC634" s="10"/>
      <c r="FD634" s="10"/>
      <c r="FE634" s="10"/>
      <c r="FF634" s="10"/>
    </row>
    <row r="635" spans="36:162" x14ac:dyDescent="0.25">
      <c r="AJ635" s="12"/>
      <c r="AK635" s="12"/>
      <c r="AQ635" s="12"/>
      <c r="AR635" s="12"/>
      <c r="AU635" s="12"/>
      <c r="AV635" s="12"/>
      <c r="AX635" s="12"/>
      <c r="AY635" s="12"/>
      <c r="BA635" s="12"/>
      <c r="BB635" s="12"/>
      <c r="BD635" s="12"/>
      <c r="BE635" s="12"/>
      <c r="BG635" s="12"/>
      <c r="BH635" s="12"/>
      <c r="BJ635" s="12"/>
      <c r="BK635" s="12"/>
      <c r="BM635" s="12"/>
      <c r="BN635" s="12"/>
      <c r="BQ635" s="12"/>
      <c r="BR635" s="12"/>
      <c r="BU635" s="12"/>
      <c r="BV635" s="12"/>
      <c r="BY635" s="12"/>
      <c r="BZ635" s="12"/>
      <c r="CC635" s="12"/>
      <c r="CD635" s="12"/>
      <c r="CG635" s="12"/>
      <c r="CH635" s="12"/>
      <c r="CJ635" s="12"/>
      <c r="CK635" s="12"/>
      <c r="CN635" s="12"/>
      <c r="CO635" s="12"/>
      <c r="CV635" s="12"/>
      <c r="CW635" s="12"/>
      <c r="CZ635" s="12"/>
      <c r="DA635" s="12"/>
      <c r="DC635" s="12"/>
      <c r="DD635" s="12"/>
      <c r="EX635" s="9"/>
      <c r="EY635" s="9"/>
      <c r="EZ635" s="9"/>
      <c r="FA635" s="15"/>
      <c r="FB635" s="14"/>
      <c r="FC635" s="10"/>
      <c r="FD635" s="10"/>
      <c r="FE635" s="10"/>
      <c r="FF635" s="10"/>
    </row>
    <row r="636" spans="36:162" x14ac:dyDescent="0.25">
      <c r="AJ636" s="12"/>
      <c r="AK636" s="12"/>
      <c r="AQ636" s="12"/>
      <c r="AR636" s="12"/>
      <c r="AU636" s="12"/>
      <c r="AV636" s="12"/>
      <c r="AX636" s="12"/>
      <c r="AY636" s="12"/>
      <c r="BA636" s="12"/>
      <c r="BB636" s="12"/>
      <c r="BD636" s="12"/>
      <c r="BE636" s="12"/>
      <c r="BG636" s="12"/>
      <c r="BH636" s="12"/>
      <c r="BJ636" s="12"/>
      <c r="BK636" s="12"/>
      <c r="BM636" s="12"/>
      <c r="BN636" s="12"/>
      <c r="BQ636" s="12"/>
      <c r="BR636" s="12"/>
      <c r="BU636" s="12"/>
      <c r="BV636" s="12"/>
      <c r="BY636" s="12"/>
      <c r="BZ636" s="12"/>
      <c r="CC636" s="12"/>
      <c r="CD636" s="12"/>
      <c r="CG636" s="12"/>
      <c r="CH636" s="12"/>
      <c r="CJ636" s="12"/>
      <c r="CK636" s="12"/>
      <c r="CN636" s="12"/>
      <c r="CO636" s="12"/>
      <c r="CV636" s="12"/>
      <c r="CW636" s="12"/>
      <c r="CZ636" s="12"/>
      <c r="DA636" s="12"/>
      <c r="DC636" s="12"/>
      <c r="DD636" s="12"/>
      <c r="EX636" s="9"/>
      <c r="EY636" s="9"/>
      <c r="EZ636" s="9"/>
      <c r="FA636" s="15"/>
      <c r="FB636" s="14"/>
      <c r="FC636" s="10"/>
      <c r="FD636" s="10"/>
      <c r="FE636" s="10"/>
      <c r="FF636" s="10"/>
    </row>
    <row r="637" spans="36:162" x14ac:dyDescent="0.25">
      <c r="AJ637" s="12"/>
      <c r="AK637" s="12"/>
      <c r="AQ637" s="12"/>
      <c r="AR637" s="12"/>
      <c r="AU637" s="12"/>
      <c r="AV637" s="12"/>
      <c r="AX637" s="12"/>
      <c r="AY637" s="12"/>
      <c r="BA637" s="12"/>
      <c r="BB637" s="12"/>
      <c r="BD637" s="12"/>
      <c r="BE637" s="12"/>
      <c r="BG637" s="12"/>
      <c r="BH637" s="12"/>
      <c r="BJ637" s="12"/>
      <c r="BK637" s="12"/>
      <c r="BM637" s="12"/>
      <c r="BN637" s="12"/>
      <c r="BQ637" s="12"/>
      <c r="BR637" s="12"/>
      <c r="BU637" s="12"/>
      <c r="BV637" s="12"/>
      <c r="BY637" s="12"/>
      <c r="BZ637" s="12"/>
      <c r="CC637" s="12"/>
      <c r="CD637" s="12"/>
      <c r="CG637" s="12"/>
      <c r="CH637" s="12"/>
      <c r="CJ637" s="12"/>
      <c r="CK637" s="12"/>
      <c r="CN637" s="12"/>
      <c r="CO637" s="12"/>
      <c r="CV637" s="12"/>
      <c r="CW637" s="12"/>
      <c r="CZ637" s="12"/>
      <c r="DA637" s="12"/>
      <c r="DC637" s="12"/>
      <c r="DD637" s="12"/>
      <c r="EX637" s="9"/>
      <c r="EY637" s="9"/>
      <c r="EZ637" s="9"/>
      <c r="FA637" s="15"/>
      <c r="FB637" s="14"/>
      <c r="FC637" s="10"/>
      <c r="FD637" s="10"/>
      <c r="FE637" s="10"/>
      <c r="FF637" s="10"/>
    </row>
    <row r="638" spans="36:162" x14ac:dyDescent="0.25">
      <c r="AJ638" s="12"/>
      <c r="AK638" s="12"/>
      <c r="AQ638" s="12"/>
      <c r="AR638" s="12"/>
      <c r="AU638" s="12"/>
      <c r="AV638" s="12"/>
      <c r="AX638" s="12"/>
      <c r="AY638" s="12"/>
      <c r="BA638" s="12"/>
      <c r="BB638" s="12"/>
      <c r="BD638" s="12"/>
      <c r="BE638" s="12"/>
      <c r="BG638" s="12"/>
      <c r="BH638" s="12"/>
      <c r="BJ638" s="12"/>
      <c r="BK638" s="12"/>
      <c r="BM638" s="12"/>
      <c r="BN638" s="12"/>
      <c r="BQ638" s="12"/>
      <c r="BR638" s="12"/>
      <c r="BU638" s="12"/>
      <c r="BV638" s="12"/>
      <c r="BY638" s="12"/>
      <c r="BZ638" s="12"/>
      <c r="CC638" s="12"/>
      <c r="CD638" s="12"/>
      <c r="CG638" s="12"/>
      <c r="CH638" s="12"/>
      <c r="CJ638" s="12"/>
      <c r="CK638" s="12"/>
      <c r="CN638" s="12"/>
      <c r="CO638" s="12"/>
      <c r="CV638" s="12"/>
      <c r="CW638" s="12"/>
      <c r="CZ638" s="12"/>
      <c r="DA638" s="12"/>
      <c r="DC638" s="12"/>
      <c r="DD638" s="12"/>
      <c r="EX638" s="9"/>
      <c r="EY638" s="9"/>
      <c r="EZ638" s="9"/>
      <c r="FA638" s="15"/>
      <c r="FB638" s="14"/>
      <c r="FC638" s="10"/>
      <c r="FD638" s="10"/>
      <c r="FE638" s="10"/>
      <c r="FF638" s="10"/>
    </row>
    <row r="639" spans="36:162" x14ac:dyDescent="0.25">
      <c r="AJ639" s="12"/>
      <c r="AK639" s="12"/>
      <c r="AQ639" s="12"/>
      <c r="AR639" s="12"/>
      <c r="AU639" s="12"/>
      <c r="AV639" s="12"/>
      <c r="AX639" s="12"/>
      <c r="AY639" s="12"/>
      <c r="BA639" s="12"/>
      <c r="BB639" s="12"/>
      <c r="BD639" s="12"/>
      <c r="BE639" s="12"/>
      <c r="BG639" s="12"/>
      <c r="BH639" s="12"/>
      <c r="BJ639" s="12"/>
      <c r="BK639" s="12"/>
      <c r="BM639" s="12"/>
      <c r="BN639" s="12"/>
      <c r="BQ639" s="12"/>
      <c r="BR639" s="12"/>
      <c r="BU639" s="12"/>
      <c r="BV639" s="12"/>
      <c r="BY639" s="12"/>
      <c r="BZ639" s="12"/>
      <c r="CC639" s="12"/>
      <c r="CD639" s="12"/>
      <c r="CG639" s="12"/>
      <c r="CH639" s="12"/>
      <c r="CJ639" s="12"/>
      <c r="CK639" s="12"/>
      <c r="CN639" s="12"/>
      <c r="CO639" s="12"/>
      <c r="CV639" s="12"/>
      <c r="CW639" s="12"/>
      <c r="CZ639" s="12"/>
      <c r="DA639" s="12"/>
      <c r="DC639" s="12"/>
      <c r="DD639" s="12"/>
      <c r="EX639" s="9"/>
      <c r="EY639" s="9"/>
      <c r="EZ639" s="9"/>
      <c r="FA639" s="15"/>
      <c r="FB639" s="14"/>
      <c r="FC639" s="10"/>
      <c r="FD639" s="10"/>
      <c r="FE639" s="10"/>
      <c r="FF639" s="10"/>
    </row>
    <row r="640" spans="36:162" x14ac:dyDescent="0.25">
      <c r="AJ640" s="12"/>
      <c r="AK640" s="12"/>
      <c r="AQ640" s="12"/>
      <c r="AR640" s="12"/>
      <c r="AU640" s="12"/>
      <c r="AV640" s="12"/>
      <c r="AX640" s="12"/>
      <c r="AY640" s="12"/>
      <c r="BA640" s="12"/>
      <c r="BB640" s="12"/>
      <c r="BD640" s="12"/>
      <c r="BE640" s="12"/>
      <c r="BG640" s="12"/>
      <c r="BH640" s="12"/>
      <c r="BJ640" s="12"/>
      <c r="BK640" s="12"/>
      <c r="BM640" s="12"/>
      <c r="BN640" s="12"/>
      <c r="BQ640" s="12"/>
      <c r="BR640" s="12"/>
      <c r="BU640" s="12"/>
      <c r="BV640" s="12"/>
      <c r="BY640" s="12"/>
      <c r="BZ640" s="12"/>
      <c r="CC640" s="12"/>
      <c r="CD640" s="12"/>
      <c r="CG640" s="12"/>
      <c r="CH640" s="12"/>
      <c r="CJ640" s="12"/>
      <c r="CK640" s="12"/>
      <c r="CN640" s="12"/>
      <c r="CO640" s="12"/>
      <c r="CV640" s="12"/>
      <c r="CW640" s="12"/>
      <c r="CZ640" s="12"/>
      <c r="DA640" s="12"/>
      <c r="DC640" s="12"/>
      <c r="DD640" s="12"/>
      <c r="EX640" s="9"/>
      <c r="EY640" s="9"/>
      <c r="EZ640" s="9"/>
      <c r="FA640" s="15"/>
      <c r="FB640" s="14"/>
      <c r="FC640" s="10"/>
      <c r="FD640" s="10"/>
      <c r="FE640" s="10"/>
      <c r="FF640" s="10"/>
    </row>
    <row r="641" spans="36:162" x14ac:dyDescent="0.25">
      <c r="AJ641" s="12"/>
      <c r="AK641" s="12"/>
      <c r="AQ641" s="12"/>
      <c r="AR641" s="12"/>
      <c r="AU641" s="12"/>
      <c r="AV641" s="12"/>
      <c r="AX641" s="12"/>
      <c r="AY641" s="12"/>
      <c r="BA641" s="12"/>
      <c r="BB641" s="12"/>
      <c r="BD641" s="12"/>
      <c r="BE641" s="12"/>
      <c r="BG641" s="12"/>
      <c r="BH641" s="12"/>
      <c r="BJ641" s="12"/>
      <c r="BK641" s="12"/>
      <c r="BM641" s="12"/>
      <c r="BN641" s="12"/>
      <c r="BQ641" s="12"/>
      <c r="BR641" s="12"/>
      <c r="BU641" s="12"/>
      <c r="BV641" s="12"/>
      <c r="BY641" s="12"/>
      <c r="BZ641" s="12"/>
      <c r="CC641" s="12"/>
      <c r="CD641" s="12"/>
      <c r="CG641" s="12"/>
      <c r="CH641" s="12"/>
      <c r="CJ641" s="12"/>
      <c r="CK641" s="12"/>
      <c r="CN641" s="12"/>
      <c r="CO641" s="12"/>
      <c r="CV641" s="12"/>
      <c r="CW641" s="12"/>
      <c r="CZ641" s="12"/>
      <c r="DA641" s="12"/>
      <c r="DC641" s="12"/>
      <c r="DD641" s="12"/>
      <c r="EX641" s="9"/>
      <c r="EY641" s="9"/>
      <c r="EZ641" s="9"/>
      <c r="FA641" s="15"/>
      <c r="FB641" s="14"/>
      <c r="FC641" s="10"/>
      <c r="FD641" s="10"/>
      <c r="FE641" s="10"/>
      <c r="FF641" s="10"/>
    </row>
    <row r="642" spans="36:162" x14ac:dyDescent="0.25">
      <c r="AJ642" s="12"/>
      <c r="AK642" s="12"/>
      <c r="AQ642" s="12"/>
      <c r="AR642" s="12"/>
      <c r="AU642" s="12"/>
      <c r="AV642" s="12"/>
      <c r="AX642" s="12"/>
      <c r="AY642" s="12"/>
      <c r="BA642" s="12"/>
      <c r="BB642" s="12"/>
      <c r="BD642" s="12"/>
      <c r="BE642" s="12"/>
      <c r="BG642" s="12"/>
      <c r="BH642" s="12"/>
      <c r="BJ642" s="12"/>
      <c r="BK642" s="12"/>
      <c r="BM642" s="12"/>
      <c r="BN642" s="12"/>
      <c r="BQ642" s="12"/>
      <c r="BR642" s="12"/>
      <c r="BU642" s="12"/>
      <c r="BV642" s="12"/>
      <c r="BY642" s="12"/>
      <c r="BZ642" s="12"/>
      <c r="CC642" s="12"/>
      <c r="CD642" s="12"/>
      <c r="CG642" s="12"/>
      <c r="CH642" s="12"/>
      <c r="CJ642" s="12"/>
      <c r="CK642" s="12"/>
      <c r="CN642" s="12"/>
      <c r="CO642" s="12"/>
      <c r="CV642" s="12"/>
      <c r="CW642" s="12"/>
      <c r="CZ642" s="12"/>
      <c r="DA642" s="12"/>
      <c r="DC642" s="12"/>
      <c r="DD642" s="12"/>
      <c r="EX642" s="9"/>
      <c r="EY642" s="9"/>
      <c r="EZ642" s="9"/>
      <c r="FA642" s="15"/>
      <c r="FB642" s="14"/>
      <c r="FC642" s="10"/>
      <c r="FD642" s="10"/>
      <c r="FE642" s="10"/>
      <c r="FF642" s="10"/>
    </row>
    <row r="643" spans="36:162" x14ac:dyDescent="0.25">
      <c r="AJ643" s="12"/>
      <c r="AK643" s="12"/>
      <c r="AQ643" s="12"/>
      <c r="AR643" s="12"/>
      <c r="AU643" s="12"/>
      <c r="AV643" s="12"/>
      <c r="AX643" s="12"/>
      <c r="AY643" s="12"/>
      <c r="BA643" s="12"/>
      <c r="BB643" s="12"/>
      <c r="BD643" s="12"/>
      <c r="BE643" s="12"/>
      <c r="BG643" s="12"/>
      <c r="BH643" s="12"/>
      <c r="BJ643" s="12"/>
      <c r="BK643" s="12"/>
      <c r="BM643" s="12"/>
      <c r="BN643" s="12"/>
      <c r="BQ643" s="12"/>
      <c r="BR643" s="12"/>
      <c r="BU643" s="12"/>
      <c r="BV643" s="12"/>
      <c r="BY643" s="12"/>
      <c r="BZ643" s="12"/>
      <c r="CC643" s="12"/>
      <c r="CD643" s="12"/>
      <c r="CG643" s="12"/>
      <c r="CH643" s="12"/>
      <c r="CJ643" s="12"/>
      <c r="CK643" s="12"/>
      <c r="CN643" s="12"/>
      <c r="CO643" s="12"/>
      <c r="CV643" s="12"/>
      <c r="CW643" s="12"/>
      <c r="CZ643" s="12"/>
      <c r="DA643" s="12"/>
      <c r="DC643" s="12"/>
      <c r="DD643" s="12"/>
      <c r="EX643" s="9"/>
      <c r="EY643" s="9"/>
      <c r="EZ643" s="9"/>
      <c r="FA643" s="15"/>
      <c r="FB643" s="14"/>
      <c r="FC643" s="10"/>
      <c r="FD643" s="10"/>
      <c r="FE643" s="10"/>
      <c r="FF643" s="10"/>
    </row>
    <row r="644" spans="36:162" x14ac:dyDescent="0.25">
      <c r="AJ644" s="12"/>
      <c r="AK644" s="12"/>
      <c r="AQ644" s="12"/>
      <c r="AR644" s="12"/>
      <c r="AU644" s="12"/>
      <c r="AV644" s="12"/>
      <c r="AX644" s="12"/>
      <c r="AY644" s="12"/>
      <c r="BA644" s="12"/>
      <c r="BB644" s="12"/>
      <c r="BD644" s="12"/>
      <c r="BE644" s="12"/>
      <c r="BG644" s="12"/>
      <c r="BH644" s="12"/>
      <c r="BJ644" s="12"/>
      <c r="BK644" s="12"/>
      <c r="BM644" s="12"/>
      <c r="BN644" s="12"/>
      <c r="BQ644" s="12"/>
      <c r="BR644" s="12"/>
      <c r="BU644" s="12"/>
      <c r="BV644" s="12"/>
      <c r="BY644" s="12"/>
      <c r="BZ644" s="12"/>
      <c r="CC644" s="12"/>
      <c r="CD644" s="12"/>
      <c r="CG644" s="12"/>
      <c r="CH644" s="12"/>
      <c r="CJ644" s="12"/>
      <c r="CK644" s="12"/>
      <c r="CN644" s="12"/>
      <c r="CO644" s="12"/>
      <c r="CV644" s="12"/>
      <c r="CW644" s="12"/>
      <c r="CZ644" s="12"/>
      <c r="DA644" s="12"/>
      <c r="DC644" s="12"/>
      <c r="DD644" s="12"/>
      <c r="EX644" s="9"/>
      <c r="EY644" s="9"/>
      <c r="EZ644" s="9"/>
      <c r="FA644" s="15"/>
      <c r="FB644" s="14"/>
      <c r="FC644" s="10"/>
      <c r="FD644" s="10"/>
      <c r="FE644" s="10"/>
      <c r="FF644" s="10"/>
    </row>
    <row r="645" spans="36:162" x14ac:dyDescent="0.25">
      <c r="AJ645" s="12"/>
      <c r="AK645" s="12"/>
      <c r="AQ645" s="12"/>
      <c r="AR645" s="12"/>
      <c r="AU645" s="12"/>
      <c r="AV645" s="12"/>
      <c r="AX645" s="12"/>
      <c r="AY645" s="12"/>
      <c r="BA645" s="12"/>
      <c r="BB645" s="12"/>
      <c r="BD645" s="12"/>
      <c r="BE645" s="12"/>
      <c r="BG645" s="12"/>
      <c r="BH645" s="12"/>
      <c r="BJ645" s="12"/>
      <c r="BK645" s="12"/>
      <c r="BM645" s="12"/>
      <c r="BN645" s="12"/>
      <c r="BQ645" s="12"/>
      <c r="BR645" s="12"/>
      <c r="BU645" s="12"/>
      <c r="BV645" s="12"/>
      <c r="BY645" s="12"/>
      <c r="BZ645" s="12"/>
      <c r="CC645" s="12"/>
      <c r="CD645" s="12"/>
      <c r="CG645" s="12"/>
      <c r="CH645" s="12"/>
      <c r="CJ645" s="12"/>
      <c r="CK645" s="12"/>
      <c r="CN645" s="12"/>
      <c r="CO645" s="12"/>
      <c r="CV645" s="12"/>
      <c r="CW645" s="12"/>
      <c r="CZ645" s="12"/>
      <c r="DA645" s="12"/>
      <c r="DC645" s="12"/>
      <c r="DD645" s="12"/>
      <c r="EX645" s="9"/>
      <c r="EY645" s="9"/>
      <c r="EZ645" s="9"/>
      <c r="FA645" s="15"/>
      <c r="FB645" s="14"/>
      <c r="FC645" s="10"/>
      <c r="FD645" s="10"/>
      <c r="FE645" s="10"/>
      <c r="FF645" s="10"/>
    </row>
    <row r="646" spans="36:162" x14ac:dyDescent="0.25">
      <c r="AJ646" s="12"/>
      <c r="AK646" s="12"/>
      <c r="AQ646" s="12"/>
      <c r="AR646" s="12"/>
      <c r="AU646" s="12"/>
      <c r="AV646" s="12"/>
      <c r="AX646" s="12"/>
      <c r="AY646" s="12"/>
      <c r="BA646" s="12"/>
      <c r="BB646" s="12"/>
      <c r="BD646" s="12"/>
      <c r="BE646" s="12"/>
      <c r="BG646" s="12"/>
      <c r="BH646" s="12"/>
      <c r="BJ646" s="12"/>
      <c r="BK646" s="12"/>
      <c r="BM646" s="12"/>
      <c r="BN646" s="12"/>
      <c r="BQ646" s="12"/>
      <c r="BR646" s="12"/>
      <c r="BU646" s="12"/>
      <c r="BV646" s="12"/>
      <c r="BY646" s="12"/>
      <c r="BZ646" s="12"/>
      <c r="CC646" s="12"/>
      <c r="CD646" s="12"/>
      <c r="CG646" s="12"/>
      <c r="CH646" s="12"/>
      <c r="CJ646" s="12"/>
      <c r="CK646" s="12"/>
      <c r="CN646" s="12"/>
      <c r="CO646" s="12"/>
      <c r="CV646" s="12"/>
      <c r="CW646" s="12"/>
      <c r="CZ646" s="12"/>
      <c r="DA646" s="12"/>
      <c r="DC646" s="12"/>
      <c r="DD646" s="12"/>
      <c r="EX646" s="9"/>
      <c r="EY646" s="9"/>
      <c r="EZ646" s="9"/>
      <c r="FA646" s="15"/>
      <c r="FB646" s="14"/>
      <c r="FC646" s="10"/>
      <c r="FD646" s="10"/>
      <c r="FE646" s="10"/>
      <c r="FF646" s="10"/>
    </row>
    <row r="647" spans="36:162" x14ac:dyDescent="0.25">
      <c r="AJ647" s="12"/>
      <c r="AK647" s="12"/>
      <c r="AQ647" s="12"/>
      <c r="AR647" s="12"/>
      <c r="AU647" s="12"/>
      <c r="AV647" s="12"/>
      <c r="AX647" s="12"/>
      <c r="AY647" s="12"/>
      <c r="BA647" s="12"/>
      <c r="BB647" s="12"/>
      <c r="BD647" s="12"/>
      <c r="BE647" s="12"/>
      <c r="BG647" s="12"/>
      <c r="BH647" s="12"/>
      <c r="BJ647" s="12"/>
      <c r="BK647" s="12"/>
      <c r="BM647" s="12"/>
      <c r="BN647" s="12"/>
      <c r="BQ647" s="12"/>
      <c r="BR647" s="12"/>
      <c r="BU647" s="12"/>
      <c r="BV647" s="12"/>
      <c r="BY647" s="12"/>
      <c r="BZ647" s="12"/>
      <c r="CC647" s="12"/>
      <c r="CD647" s="12"/>
      <c r="CG647" s="12"/>
      <c r="CH647" s="12"/>
      <c r="CJ647" s="12"/>
      <c r="CK647" s="12"/>
      <c r="CN647" s="12"/>
      <c r="CO647" s="12"/>
      <c r="CV647" s="12"/>
      <c r="CW647" s="12"/>
      <c r="CZ647" s="12"/>
      <c r="DA647" s="12"/>
      <c r="DC647" s="12"/>
      <c r="DD647" s="12"/>
      <c r="EX647" s="9"/>
      <c r="EY647" s="9"/>
      <c r="EZ647" s="9"/>
      <c r="FA647" s="15"/>
      <c r="FB647" s="14"/>
      <c r="FC647" s="10"/>
      <c r="FD647" s="10"/>
      <c r="FE647" s="10"/>
      <c r="FF647" s="10"/>
    </row>
    <row r="648" spans="36:162" x14ac:dyDescent="0.25">
      <c r="AJ648" s="12"/>
      <c r="AK648" s="12"/>
      <c r="AQ648" s="12"/>
      <c r="AR648" s="12"/>
      <c r="AU648" s="12"/>
      <c r="AV648" s="12"/>
      <c r="AX648" s="12"/>
      <c r="AY648" s="12"/>
      <c r="BA648" s="12"/>
      <c r="BB648" s="12"/>
      <c r="BD648" s="12"/>
      <c r="BE648" s="12"/>
      <c r="BG648" s="12"/>
      <c r="BH648" s="12"/>
      <c r="BJ648" s="12"/>
      <c r="BK648" s="12"/>
      <c r="BM648" s="12"/>
      <c r="BN648" s="12"/>
      <c r="BQ648" s="12"/>
      <c r="BR648" s="12"/>
      <c r="BU648" s="12"/>
      <c r="BV648" s="12"/>
      <c r="BY648" s="12"/>
      <c r="BZ648" s="12"/>
      <c r="CC648" s="12"/>
      <c r="CD648" s="12"/>
      <c r="CG648" s="12"/>
      <c r="CH648" s="12"/>
      <c r="CJ648" s="12"/>
      <c r="CK648" s="12"/>
      <c r="CN648" s="12"/>
      <c r="CO648" s="12"/>
      <c r="CV648" s="12"/>
      <c r="CW648" s="12"/>
      <c r="CZ648" s="12"/>
      <c r="DA648" s="12"/>
      <c r="DC648" s="12"/>
      <c r="DD648" s="12"/>
      <c r="EX648" s="9"/>
      <c r="EY648" s="9"/>
      <c r="EZ648" s="9"/>
      <c r="FA648" s="15"/>
      <c r="FB648" s="14"/>
      <c r="FC648" s="10"/>
      <c r="FD648" s="10"/>
      <c r="FE648" s="10"/>
      <c r="FF648" s="10"/>
    </row>
    <row r="649" spans="36:162" x14ac:dyDescent="0.25">
      <c r="AJ649" s="12"/>
      <c r="AK649" s="12"/>
      <c r="AQ649" s="12"/>
      <c r="AR649" s="12"/>
      <c r="AU649" s="12"/>
      <c r="AV649" s="12"/>
      <c r="AX649" s="12"/>
      <c r="AY649" s="12"/>
      <c r="BA649" s="12"/>
      <c r="BB649" s="12"/>
      <c r="BD649" s="12"/>
      <c r="BE649" s="12"/>
      <c r="BG649" s="12"/>
      <c r="BH649" s="12"/>
      <c r="BJ649" s="12"/>
      <c r="BK649" s="12"/>
      <c r="BM649" s="12"/>
      <c r="BN649" s="12"/>
      <c r="BQ649" s="12"/>
      <c r="BR649" s="12"/>
      <c r="BU649" s="12"/>
      <c r="BV649" s="12"/>
      <c r="BY649" s="12"/>
      <c r="BZ649" s="12"/>
      <c r="CC649" s="12"/>
      <c r="CD649" s="12"/>
      <c r="CG649" s="12"/>
      <c r="CH649" s="12"/>
      <c r="CJ649" s="12"/>
      <c r="CK649" s="12"/>
      <c r="CN649" s="12"/>
      <c r="CO649" s="12"/>
      <c r="CV649" s="12"/>
      <c r="CW649" s="12"/>
      <c r="CZ649" s="12"/>
      <c r="DA649" s="12"/>
      <c r="DC649" s="12"/>
      <c r="DD649" s="12"/>
      <c r="EX649" s="9"/>
      <c r="EY649" s="9"/>
      <c r="EZ649" s="9"/>
      <c r="FA649" s="15"/>
      <c r="FB649" s="14"/>
      <c r="FC649" s="10"/>
      <c r="FD649" s="10"/>
      <c r="FE649" s="10"/>
      <c r="FF649" s="10"/>
    </row>
    <row r="650" spans="36:162" x14ac:dyDescent="0.25">
      <c r="AJ650" s="12"/>
      <c r="AK650" s="12"/>
      <c r="AQ650" s="12"/>
      <c r="AR650" s="12"/>
      <c r="AU650" s="12"/>
      <c r="AV650" s="12"/>
      <c r="AX650" s="12"/>
      <c r="AY650" s="12"/>
      <c r="BA650" s="12"/>
      <c r="BB650" s="12"/>
      <c r="BD650" s="12"/>
      <c r="BE650" s="12"/>
      <c r="BG650" s="12"/>
      <c r="BH650" s="12"/>
      <c r="BJ650" s="12"/>
      <c r="BK650" s="12"/>
      <c r="BM650" s="12"/>
      <c r="BN650" s="12"/>
      <c r="BQ650" s="12"/>
      <c r="BR650" s="12"/>
      <c r="BU650" s="12"/>
      <c r="BV650" s="12"/>
      <c r="BY650" s="12"/>
      <c r="BZ650" s="12"/>
      <c r="CC650" s="12"/>
      <c r="CD650" s="12"/>
      <c r="CG650" s="12"/>
      <c r="CH650" s="12"/>
      <c r="CJ650" s="12"/>
      <c r="CK650" s="12"/>
      <c r="CN650" s="12"/>
      <c r="CO650" s="12"/>
      <c r="CV650" s="12"/>
      <c r="CW650" s="12"/>
      <c r="CZ650" s="12"/>
      <c r="DA650" s="12"/>
      <c r="DC650" s="12"/>
      <c r="DD650" s="12"/>
      <c r="EX650" s="9"/>
      <c r="EY650" s="9"/>
      <c r="EZ650" s="9"/>
      <c r="FA650" s="15"/>
      <c r="FB650" s="14"/>
      <c r="FC650" s="10"/>
      <c r="FD650" s="10"/>
      <c r="FE650" s="10"/>
      <c r="FF650" s="10"/>
    </row>
    <row r="651" spans="36:162" x14ac:dyDescent="0.25">
      <c r="AJ651" s="12"/>
      <c r="AK651" s="12"/>
      <c r="AQ651" s="12"/>
      <c r="AR651" s="12"/>
      <c r="AU651" s="12"/>
      <c r="AV651" s="12"/>
      <c r="AX651" s="12"/>
      <c r="AY651" s="12"/>
      <c r="BA651" s="12"/>
      <c r="BB651" s="12"/>
      <c r="BD651" s="12"/>
      <c r="BE651" s="12"/>
      <c r="BG651" s="12"/>
      <c r="BH651" s="12"/>
      <c r="BJ651" s="12"/>
      <c r="BK651" s="12"/>
      <c r="BM651" s="12"/>
      <c r="BN651" s="12"/>
      <c r="BQ651" s="12"/>
      <c r="BR651" s="12"/>
      <c r="BU651" s="12"/>
      <c r="BV651" s="12"/>
      <c r="BY651" s="12"/>
      <c r="BZ651" s="12"/>
      <c r="CC651" s="12"/>
      <c r="CD651" s="12"/>
      <c r="CG651" s="12"/>
      <c r="CH651" s="12"/>
      <c r="CJ651" s="12"/>
      <c r="CK651" s="12"/>
      <c r="CN651" s="12"/>
      <c r="CO651" s="12"/>
      <c r="CV651" s="12"/>
      <c r="CW651" s="12"/>
      <c r="CZ651" s="12"/>
      <c r="DA651" s="12"/>
      <c r="DC651" s="12"/>
      <c r="DD651" s="12"/>
      <c r="EX651" s="9"/>
      <c r="EY651" s="9"/>
      <c r="EZ651" s="9"/>
      <c r="FA651" s="15"/>
      <c r="FB651" s="14"/>
      <c r="FC651" s="10"/>
      <c r="FD651" s="10"/>
      <c r="FE651" s="10"/>
      <c r="FF651" s="10"/>
    </row>
    <row r="652" spans="36:162" x14ac:dyDescent="0.25">
      <c r="AJ652" s="12"/>
      <c r="AK652" s="12"/>
      <c r="AQ652" s="12"/>
      <c r="AR652" s="12"/>
      <c r="AU652" s="12"/>
      <c r="AV652" s="12"/>
      <c r="AX652" s="12"/>
      <c r="AY652" s="12"/>
      <c r="BA652" s="12"/>
      <c r="BB652" s="12"/>
      <c r="BD652" s="12"/>
      <c r="BE652" s="12"/>
      <c r="BG652" s="12"/>
      <c r="BH652" s="12"/>
      <c r="BJ652" s="12"/>
      <c r="BK652" s="12"/>
      <c r="BM652" s="12"/>
      <c r="BN652" s="12"/>
      <c r="BQ652" s="12"/>
      <c r="BR652" s="12"/>
      <c r="BU652" s="12"/>
      <c r="BV652" s="12"/>
      <c r="BY652" s="12"/>
      <c r="BZ652" s="12"/>
      <c r="CC652" s="12"/>
      <c r="CD652" s="12"/>
      <c r="CG652" s="12"/>
      <c r="CH652" s="12"/>
      <c r="CJ652" s="12"/>
      <c r="CK652" s="12"/>
      <c r="CN652" s="12"/>
      <c r="CO652" s="12"/>
      <c r="CV652" s="12"/>
      <c r="CW652" s="12"/>
      <c r="CZ652" s="12"/>
      <c r="DA652" s="12"/>
      <c r="DC652" s="12"/>
      <c r="DD652" s="12"/>
      <c r="EX652" s="9"/>
      <c r="EY652" s="9"/>
      <c r="EZ652" s="9"/>
      <c r="FA652" s="15"/>
      <c r="FB652" s="14"/>
      <c r="FC652" s="10"/>
      <c r="FD652" s="10"/>
      <c r="FE652" s="10"/>
      <c r="FF652" s="10"/>
    </row>
    <row r="653" spans="36:162" x14ac:dyDescent="0.25">
      <c r="AJ653" s="12"/>
      <c r="AK653" s="12"/>
      <c r="AQ653" s="12"/>
      <c r="AR653" s="12"/>
      <c r="AU653" s="12"/>
      <c r="AV653" s="12"/>
      <c r="AX653" s="12"/>
      <c r="AY653" s="12"/>
      <c r="BA653" s="12"/>
      <c r="BB653" s="12"/>
      <c r="BD653" s="12"/>
      <c r="BE653" s="12"/>
      <c r="BG653" s="12"/>
      <c r="BH653" s="12"/>
      <c r="BJ653" s="12"/>
      <c r="BK653" s="12"/>
      <c r="BM653" s="12"/>
      <c r="BN653" s="12"/>
      <c r="BQ653" s="12"/>
      <c r="BR653" s="12"/>
      <c r="BU653" s="12"/>
      <c r="BV653" s="12"/>
      <c r="BY653" s="12"/>
      <c r="BZ653" s="12"/>
      <c r="CC653" s="12"/>
      <c r="CD653" s="12"/>
      <c r="CG653" s="12"/>
      <c r="CH653" s="12"/>
      <c r="CJ653" s="12"/>
      <c r="CK653" s="12"/>
      <c r="CN653" s="12"/>
      <c r="CO653" s="12"/>
      <c r="CV653" s="12"/>
      <c r="CW653" s="12"/>
      <c r="CZ653" s="12"/>
      <c r="DA653" s="12"/>
      <c r="DC653" s="12"/>
      <c r="DD653" s="12"/>
      <c r="EX653" s="9"/>
      <c r="EY653" s="9"/>
      <c r="EZ653" s="9"/>
      <c r="FA653" s="15"/>
      <c r="FB653" s="14"/>
      <c r="FC653" s="10"/>
      <c r="FD653" s="10"/>
      <c r="FE653" s="10"/>
      <c r="FF653" s="10"/>
    </row>
    <row r="654" spans="36:162" x14ac:dyDescent="0.25">
      <c r="AJ654" s="12"/>
      <c r="AK654" s="12"/>
      <c r="AQ654" s="12"/>
      <c r="AR654" s="12"/>
      <c r="AU654" s="12"/>
      <c r="AV654" s="12"/>
      <c r="AX654" s="12"/>
      <c r="AY654" s="12"/>
      <c r="BA654" s="12"/>
      <c r="BB654" s="12"/>
      <c r="BD654" s="12"/>
      <c r="BE654" s="12"/>
      <c r="BG654" s="12"/>
      <c r="BH654" s="12"/>
      <c r="BJ654" s="12"/>
      <c r="BK654" s="12"/>
      <c r="BM654" s="12"/>
      <c r="BN654" s="12"/>
      <c r="BQ654" s="12"/>
      <c r="BR654" s="12"/>
      <c r="BU654" s="12"/>
      <c r="BV654" s="12"/>
      <c r="BY654" s="12"/>
      <c r="BZ654" s="12"/>
      <c r="CC654" s="12"/>
      <c r="CD654" s="12"/>
      <c r="CG654" s="12"/>
      <c r="CH654" s="12"/>
      <c r="CJ654" s="12"/>
      <c r="CK654" s="12"/>
      <c r="CN654" s="12"/>
      <c r="CO654" s="12"/>
      <c r="CV654" s="12"/>
      <c r="CW654" s="12"/>
      <c r="CZ654" s="12"/>
      <c r="DA654" s="12"/>
      <c r="DC654" s="12"/>
      <c r="DD654" s="12"/>
      <c r="EX654" s="9"/>
      <c r="EY654" s="9"/>
      <c r="EZ654" s="9"/>
      <c r="FA654" s="15"/>
      <c r="FB654" s="14"/>
      <c r="FC654" s="10"/>
      <c r="FD654" s="10"/>
      <c r="FE654" s="10"/>
      <c r="FF654" s="10"/>
    </row>
    <row r="655" spans="36:162" x14ac:dyDescent="0.25">
      <c r="AJ655" s="12"/>
      <c r="AK655" s="12"/>
      <c r="AQ655" s="12"/>
      <c r="AR655" s="12"/>
      <c r="AU655" s="12"/>
      <c r="AV655" s="12"/>
      <c r="AX655" s="12"/>
      <c r="AY655" s="12"/>
      <c r="BA655" s="12"/>
      <c r="BB655" s="12"/>
      <c r="BD655" s="12"/>
      <c r="BE655" s="12"/>
      <c r="BG655" s="12"/>
      <c r="BH655" s="12"/>
      <c r="BJ655" s="12"/>
      <c r="BK655" s="12"/>
      <c r="BM655" s="12"/>
      <c r="BN655" s="12"/>
      <c r="BQ655" s="12"/>
      <c r="BR655" s="12"/>
      <c r="BU655" s="12"/>
      <c r="BV655" s="12"/>
      <c r="BY655" s="12"/>
      <c r="BZ655" s="12"/>
      <c r="CC655" s="12"/>
      <c r="CD655" s="12"/>
      <c r="CG655" s="12"/>
      <c r="CH655" s="12"/>
      <c r="CJ655" s="12"/>
      <c r="CK655" s="12"/>
      <c r="CN655" s="12"/>
      <c r="CO655" s="12"/>
      <c r="CV655" s="12"/>
      <c r="CW655" s="12"/>
      <c r="CZ655" s="12"/>
      <c r="DA655" s="12"/>
      <c r="DC655" s="12"/>
      <c r="DD655" s="12"/>
      <c r="EX655" s="9"/>
      <c r="EY655" s="9"/>
      <c r="EZ655" s="9"/>
      <c r="FA655" s="15"/>
      <c r="FB655" s="14"/>
      <c r="FC655" s="10"/>
      <c r="FD655" s="10"/>
      <c r="FE655" s="10"/>
      <c r="FF655" s="10"/>
    </row>
    <row r="656" spans="36:162" x14ac:dyDescent="0.25">
      <c r="AJ656" s="12"/>
      <c r="AK656" s="12"/>
      <c r="AQ656" s="12"/>
      <c r="AR656" s="12"/>
      <c r="AU656" s="12"/>
      <c r="AV656" s="12"/>
      <c r="AX656" s="12"/>
      <c r="AY656" s="12"/>
      <c r="BA656" s="12"/>
      <c r="BB656" s="12"/>
      <c r="BD656" s="12"/>
      <c r="BE656" s="12"/>
      <c r="BG656" s="12"/>
      <c r="BH656" s="12"/>
      <c r="BJ656" s="12"/>
      <c r="BK656" s="12"/>
      <c r="BM656" s="12"/>
      <c r="BN656" s="12"/>
      <c r="BQ656" s="12"/>
      <c r="BR656" s="12"/>
      <c r="BU656" s="12"/>
      <c r="BV656" s="12"/>
      <c r="BY656" s="12"/>
      <c r="BZ656" s="12"/>
      <c r="CC656" s="12"/>
      <c r="CD656" s="12"/>
      <c r="CG656" s="12"/>
      <c r="CH656" s="12"/>
      <c r="CJ656" s="12"/>
      <c r="CK656" s="12"/>
      <c r="CN656" s="12"/>
      <c r="CO656" s="12"/>
      <c r="CV656" s="12"/>
      <c r="CW656" s="12"/>
      <c r="CZ656" s="12"/>
      <c r="DA656" s="12"/>
      <c r="DC656" s="12"/>
      <c r="DD656" s="12"/>
      <c r="EX656" s="9"/>
      <c r="EY656" s="9"/>
      <c r="EZ656" s="9"/>
      <c r="FA656" s="15"/>
      <c r="FB656" s="14"/>
      <c r="FC656" s="10"/>
      <c r="FD656" s="10"/>
      <c r="FE656" s="10"/>
      <c r="FF656" s="10"/>
    </row>
    <row r="657" spans="36:162" x14ac:dyDescent="0.25">
      <c r="AJ657" s="12"/>
      <c r="AK657" s="12"/>
      <c r="AQ657" s="12"/>
      <c r="AR657" s="12"/>
      <c r="AU657" s="12"/>
      <c r="AV657" s="12"/>
      <c r="AX657" s="12"/>
      <c r="AY657" s="12"/>
      <c r="BA657" s="12"/>
      <c r="BB657" s="12"/>
      <c r="BD657" s="12"/>
      <c r="BE657" s="12"/>
      <c r="BG657" s="12"/>
      <c r="BH657" s="12"/>
      <c r="BJ657" s="12"/>
      <c r="BK657" s="12"/>
      <c r="BM657" s="12"/>
      <c r="BN657" s="12"/>
      <c r="BQ657" s="12"/>
      <c r="BR657" s="12"/>
      <c r="BU657" s="12"/>
      <c r="BV657" s="12"/>
      <c r="BY657" s="12"/>
      <c r="BZ657" s="12"/>
      <c r="CC657" s="12"/>
      <c r="CD657" s="12"/>
      <c r="CG657" s="12"/>
      <c r="CH657" s="12"/>
      <c r="CJ657" s="12"/>
      <c r="CK657" s="12"/>
      <c r="CN657" s="12"/>
      <c r="CO657" s="12"/>
      <c r="CV657" s="12"/>
      <c r="CW657" s="12"/>
      <c r="CZ657" s="12"/>
      <c r="DA657" s="12"/>
      <c r="DC657" s="12"/>
      <c r="DD657" s="12"/>
      <c r="EX657" s="9"/>
      <c r="EY657" s="9"/>
      <c r="EZ657" s="9"/>
      <c r="FA657" s="15"/>
      <c r="FB657" s="14"/>
      <c r="FC657" s="10"/>
      <c r="FD657" s="10"/>
      <c r="FE657" s="10"/>
      <c r="FF657" s="10"/>
    </row>
    <row r="658" spans="36:162" x14ac:dyDescent="0.25">
      <c r="AJ658" s="12"/>
      <c r="AK658" s="12"/>
      <c r="AQ658" s="12"/>
      <c r="AR658" s="12"/>
      <c r="AU658" s="12"/>
      <c r="AV658" s="12"/>
      <c r="AX658" s="12"/>
      <c r="AY658" s="12"/>
      <c r="BA658" s="12"/>
      <c r="BB658" s="12"/>
      <c r="BD658" s="12"/>
      <c r="BE658" s="12"/>
      <c r="BG658" s="12"/>
      <c r="BH658" s="12"/>
      <c r="BJ658" s="12"/>
      <c r="BK658" s="12"/>
      <c r="BM658" s="12"/>
      <c r="BN658" s="12"/>
      <c r="BQ658" s="12"/>
      <c r="BR658" s="12"/>
      <c r="BU658" s="12"/>
      <c r="BV658" s="12"/>
      <c r="BY658" s="12"/>
      <c r="BZ658" s="12"/>
      <c r="CC658" s="12"/>
      <c r="CD658" s="12"/>
      <c r="CG658" s="12"/>
      <c r="CH658" s="12"/>
      <c r="CJ658" s="12"/>
      <c r="CK658" s="12"/>
      <c r="CN658" s="12"/>
      <c r="CO658" s="12"/>
      <c r="CV658" s="12"/>
      <c r="CW658" s="12"/>
      <c r="CZ658" s="12"/>
      <c r="DA658" s="12"/>
      <c r="DC658" s="12"/>
      <c r="DD658" s="12"/>
      <c r="EX658" s="9"/>
      <c r="EY658" s="9"/>
      <c r="EZ658" s="9"/>
      <c r="FA658" s="15"/>
      <c r="FB658" s="14"/>
      <c r="FC658" s="10"/>
      <c r="FD658" s="10"/>
      <c r="FE658" s="10"/>
      <c r="FF658" s="10"/>
    </row>
    <row r="659" spans="36:162" x14ac:dyDescent="0.25">
      <c r="AJ659" s="12"/>
      <c r="AK659" s="12"/>
      <c r="AQ659" s="12"/>
      <c r="AR659" s="12"/>
      <c r="AU659" s="12"/>
      <c r="AV659" s="12"/>
      <c r="AX659" s="12"/>
      <c r="AY659" s="12"/>
      <c r="BA659" s="12"/>
      <c r="BB659" s="12"/>
      <c r="BD659" s="12"/>
      <c r="BE659" s="12"/>
      <c r="BG659" s="12"/>
      <c r="BH659" s="12"/>
      <c r="BJ659" s="12"/>
      <c r="BK659" s="12"/>
      <c r="BM659" s="12"/>
      <c r="BN659" s="12"/>
      <c r="BQ659" s="12"/>
      <c r="BR659" s="12"/>
      <c r="BU659" s="12"/>
      <c r="BV659" s="12"/>
      <c r="BY659" s="12"/>
      <c r="BZ659" s="12"/>
      <c r="CC659" s="12"/>
      <c r="CD659" s="12"/>
      <c r="CG659" s="12"/>
      <c r="CH659" s="12"/>
      <c r="CJ659" s="12"/>
      <c r="CK659" s="12"/>
      <c r="CN659" s="12"/>
      <c r="CO659" s="12"/>
      <c r="CV659" s="12"/>
      <c r="CW659" s="12"/>
      <c r="CZ659" s="12"/>
      <c r="DA659" s="12"/>
      <c r="DC659" s="12"/>
      <c r="DD659" s="12"/>
      <c r="EX659" s="9"/>
      <c r="EY659" s="9"/>
      <c r="EZ659" s="9"/>
      <c r="FA659" s="15"/>
      <c r="FB659" s="14"/>
      <c r="FC659" s="10"/>
      <c r="FD659" s="10"/>
      <c r="FE659" s="10"/>
      <c r="FF659" s="10"/>
    </row>
    <row r="660" spans="36:162" x14ac:dyDescent="0.25">
      <c r="AJ660" s="12"/>
      <c r="AK660" s="12"/>
      <c r="AQ660" s="12"/>
      <c r="AR660" s="12"/>
      <c r="AU660" s="12"/>
      <c r="AV660" s="12"/>
      <c r="AX660" s="12"/>
      <c r="AY660" s="12"/>
      <c r="BA660" s="12"/>
      <c r="BB660" s="12"/>
      <c r="BD660" s="12"/>
      <c r="BE660" s="12"/>
      <c r="BG660" s="12"/>
      <c r="BH660" s="12"/>
      <c r="BJ660" s="12"/>
      <c r="BK660" s="12"/>
      <c r="BM660" s="12"/>
      <c r="BN660" s="12"/>
      <c r="BQ660" s="12"/>
      <c r="BR660" s="12"/>
      <c r="BU660" s="12"/>
      <c r="BV660" s="12"/>
      <c r="BY660" s="12"/>
      <c r="BZ660" s="12"/>
      <c r="CC660" s="12"/>
      <c r="CD660" s="12"/>
      <c r="CG660" s="12"/>
      <c r="CH660" s="12"/>
      <c r="CJ660" s="12"/>
      <c r="CK660" s="12"/>
      <c r="CN660" s="12"/>
      <c r="CO660" s="12"/>
      <c r="CV660" s="12"/>
      <c r="CW660" s="12"/>
      <c r="CZ660" s="12"/>
      <c r="DA660" s="12"/>
      <c r="DC660" s="12"/>
      <c r="DD660" s="12"/>
      <c r="EX660" s="9"/>
      <c r="EY660" s="9"/>
      <c r="EZ660" s="9"/>
      <c r="FA660" s="15"/>
      <c r="FB660" s="14"/>
      <c r="FC660" s="10"/>
      <c r="FD660" s="10"/>
      <c r="FE660" s="10"/>
      <c r="FF660" s="10"/>
    </row>
    <row r="661" spans="36:162" x14ac:dyDescent="0.25">
      <c r="AJ661" s="12"/>
      <c r="AK661" s="12"/>
      <c r="AQ661" s="12"/>
      <c r="AR661" s="12"/>
      <c r="AU661" s="12"/>
      <c r="AV661" s="12"/>
      <c r="AX661" s="12"/>
      <c r="AY661" s="12"/>
      <c r="BA661" s="12"/>
      <c r="BB661" s="12"/>
      <c r="BD661" s="12"/>
      <c r="BE661" s="12"/>
      <c r="BG661" s="12"/>
      <c r="BH661" s="12"/>
      <c r="BJ661" s="12"/>
      <c r="BK661" s="12"/>
      <c r="BM661" s="12"/>
      <c r="BN661" s="12"/>
      <c r="BQ661" s="12"/>
      <c r="BR661" s="12"/>
      <c r="BU661" s="12"/>
      <c r="BV661" s="12"/>
      <c r="BY661" s="12"/>
      <c r="BZ661" s="12"/>
      <c r="CC661" s="12"/>
      <c r="CD661" s="12"/>
      <c r="CG661" s="12"/>
      <c r="CH661" s="12"/>
      <c r="CJ661" s="12"/>
      <c r="CK661" s="12"/>
      <c r="CN661" s="12"/>
      <c r="CO661" s="12"/>
      <c r="CV661" s="12"/>
      <c r="CW661" s="12"/>
      <c r="CZ661" s="12"/>
      <c r="DA661" s="12"/>
      <c r="DC661" s="12"/>
      <c r="DD661" s="12"/>
      <c r="EX661" s="9"/>
      <c r="EY661" s="9"/>
      <c r="EZ661" s="9"/>
      <c r="FA661" s="15"/>
      <c r="FB661" s="14"/>
      <c r="FC661" s="10"/>
      <c r="FD661" s="10"/>
      <c r="FE661" s="10"/>
      <c r="FF661" s="10"/>
    </row>
    <row r="662" spans="36:162" x14ac:dyDescent="0.25">
      <c r="AJ662" s="12"/>
      <c r="AK662" s="12"/>
      <c r="AQ662" s="12"/>
      <c r="AR662" s="12"/>
      <c r="AU662" s="12"/>
      <c r="AV662" s="12"/>
      <c r="AX662" s="12"/>
      <c r="AY662" s="12"/>
      <c r="BA662" s="12"/>
      <c r="BB662" s="12"/>
      <c r="BD662" s="12"/>
      <c r="BE662" s="12"/>
      <c r="BG662" s="12"/>
      <c r="BH662" s="12"/>
      <c r="BJ662" s="12"/>
      <c r="BK662" s="12"/>
      <c r="BM662" s="12"/>
      <c r="BN662" s="12"/>
      <c r="BQ662" s="12"/>
      <c r="BR662" s="12"/>
      <c r="BU662" s="12"/>
      <c r="BV662" s="12"/>
      <c r="BY662" s="12"/>
      <c r="BZ662" s="12"/>
      <c r="CC662" s="12"/>
      <c r="CD662" s="12"/>
      <c r="CG662" s="12"/>
      <c r="CH662" s="12"/>
      <c r="CJ662" s="12"/>
      <c r="CK662" s="12"/>
      <c r="CN662" s="12"/>
      <c r="CO662" s="12"/>
      <c r="CV662" s="12"/>
      <c r="CW662" s="12"/>
      <c r="CZ662" s="12"/>
      <c r="DA662" s="12"/>
      <c r="DC662" s="12"/>
      <c r="DD662" s="12"/>
      <c r="EX662" s="9"/>
      <c r="EY662" s="9"/>
      <c r="EZ662" s="9"/>
      <c r="FA662" s="15"/>
      <c r="FB662" s="14"/>
      <c r="FC662" s="10"/>
      <c r="FD662" s="10"/>
      <c r="FE662" s="10"/>
      <c r="FF662" s="10"/>
    </row>
    <row r="663" spans="36:162" x14ac:dyDescent="0.25">
      <c r="AJ663" s="12"/>
      <c r="AK663" s="12"/>
      <c r="AQ663" s="12"/>
      <c r="AR663" s="12"/>
      <c r="AU663" s="12"/>
      <c r="AV663" s="12"/>
      <c r="AX663" s="12"/>
      <c r="AY663" s="12"/>
      <c r="BA663" s="12"/>
      <c r="BB663" s="12"/>
      <c r="BD663" s="12"/>
      <c r="BE663" s="12"/>
      <c r="BG663" s="12"/>
      <c r="BH663" s="12"/>
      <c r="BJ663" s="12"/>
      <c r="BK663" s="12"/>
      <c r="BM663" s="12"/>
      <c r="BN663" s="12"/>
      <c r="BQ663" s="12"/>
      <c r="BR663" s="12"/>
      <c r="BU663" s="12"/>
      <c r="BV663" s="12"/>
      <c r="BY663" s="12"/>
      <c r="BZ663" s="12"/>
      <c r="CC663" s="12"/>
      <c r="CD663" s="12"/>
      <c r="CG663" s="12"/>
      <c r="CH663" s="12"/>
      <c r="CJ663" s="12"/>
      <c r="CK663" s="12"/>
      <c r="CN663" s="12"/>
      <c r="CO663" s="12"/>
      <c r="CV663" s="12"/>
      <c r="CW663" s="12"/>
      <c r="CZ663" s="12"/>
      <c r="DA663" s="12"/>
      <c r="DC663" s="12"/>
      <c r="DD663" s="12"/>
      <c r="EX663" s="9"/>
      <c r="EY663" s="9"/>
      <c r="EZ663" s="9"/>
      <c r="FA663" s="15"/>
      <c r="FB663" s="14"/>
      <c r="FC663" s="10"/>
      <c r="FD663" s="10"/>
      <c r="FE663" s="10"/>
      <c r="FF663" s="10"/>
    </row>
    <row r="664" spans="36:162" x14ac:dyDescent="0.25">
      <c r="AJ664" s="12"/>
      <c r="AK664" s="12"/>
      <c r="AQ664" s="12"/>
      <c r="AR664" s="12"/>
      <c r="AU664" s="12"/>
      <c r="AV664" s="12"/>
      <c r="AX664" s="12"/>
      <c r="AY664" s="12"/>
      <c r="BA664" s="12"/>
      <c r="BB664" s="12"/>
      <c r="BD664" s="12"/>
      <c r="BE664" s="12"/>
      <c r="BG664" s="12"/>
      <c r="BH664" s="12"/>
      <c r="BJ664" s="12"/>
      <c r="BK664" s="12"/>
      <c r="BM664" s="12"/>
      <c r="BN664" s="12"/>
      <c r="BQ664" s="12"/>
      <c r="BR664" s="12"/>
      <c r="BU664" s="12"/>
      <c r="BV664" s="12"/>
      <c r="BY664" s="12"/>
      <c r="BZ664" s="12"/>
      <c r="CC664" s="12"/>
      <c r="CD664" s="12"/>
      <c r="CG664" s="12"/>
      <c r="CH664" s="12"/>
      <c r="CJ664" s="12"/>
      <c r="CK664" s="12"/>
      <c r="CN664" s="12"/>
      <c r="CO664" s="12"/>
      <c r="CV664" s="12"/>
      <c r="CW664" s="12"/>
      <c r="CZ664" s="12"/>
      <c r="DA664" s="12"/>
      <c r="DC664" s="12"/>
      <c r="DD664" s="12"/>
      <c r="EX664" s="9"/>
      <c r="EY664" s="9"/>
      <c r="EZ664" s="9"/>
      <c r="FA664" s="15"/>
      <c r="FB664" s="14"/>
      <c r="FC664" s="10"/>
      <c r="FD664" s="10"/>
      <c r="FE664" s="10"/>
      <c r="FF664" s="10"/>
    </row>
    <row r="665" spans="36:162" x14ac:dyDescent="0.25">
      <c r="AJ665" s="12"/>
      <c r="AK665" s="12"/>
      <c r="AQ665" s="12"/>
      <c r="AR665" s="12"/>
      <c r="AU665" s="12"/>
      <c r="AV665" s="12"/>
      <c r="AX665" s="12"/>
      <c r="AY665" s="12"/>
      <c r="BA665" s="12"/>
      <c r="BB665" s="12"/>
      <c r="BD665" s="12"/>
      <c r="BE665" s="12"/>
      <c r="BG665" s="12"/>
      <c r="BH665" s="12"/>
      <c r="BJ665" s="12"/>
      <c r="BK665" s="12"/>
      <c r="BM665" s="12"/>
      <c r="BN665" s="12"/>
      <c r="BQ665" s="12"/>
      <c r="BR665" s="12"/>
      <c r="BU665" s="12"/>
      <c r="BV665" s="12"/>
      <c r="BY665" s="12"/>
      <c r="BZ665" s="12"/>
      <c r="CC665" s="12"/>
      <c r="CD665" s="12"/>
      <c r="CG665" s="12"/>
      <c r="CH665" s="12"/>
      <c r="CJ665" s="12"/>
      <c r="CK665" s="12"/>
      <c r="CN665" s="12"/>
      <c r="CO665" s="12"/>
      <c r="CV665" s="12"/>
      <c r="CW665" s="12"/>
      <c r="CZ665" s="12"/>
      <c r="DA665" s="12"/>
      <c r="DC665" s="12"/>
      <c r="DD665" s="12"/>
      <c r="EX665" s="9"/>
      <c r="EY665" s="9"/>
      <c r="EZ665" s="9"/>
      <c r="FA665" s="15"/>
      <c r="FB665" s="14"/>
      <c r="FC665" s="10"/>
      <c r="FD665" s="10"/>
      <c r="FE665" s="10"/>
      <c r="FF665" s="10"/>
    </row>
    <row r="666" spans="36:162" x14ac:dyDescent="0.25">
      <c r="AJ666" s="12"/>
      <c r="AK666" s="12"/>
      <c r="AQ666" s="12"/>
      <c r="AR666" s="12"/>
      <c r="AU666" s="12"/>
      <c r="AV666" s="12"/>
      <c r="AX666" s="12"/>
      <c r="AY666" s="12"/>
      <c r="BA666" s="12"/>
      <c r="BB666" s="12"/>
      <c r="BD666" s="12"/>
      <c r="BE666" s="12"/>
      <c r="BG666" s="12"/>
      <c r="BH666" s="12"/>
      <c r="BJ666" s="12"/>
      <c r="BK666" s="12"/>
      <c r="BM666" s="12"/>
      <c r="BN666" s="12"/>
      <c r="BQ666" s="12"/>
      <c r="BR666" s="12"/>
      <c r="BU666" s="12"/>
      <c r="BV666" s="12"/>
      <c r="BY666" s="12"/>
      <c r="BZ666" s="12"/>
      <c r="CC666" s="12"/>
      <c r="CD666" s="12"/>
      <c r="CG666" s="12"/>
      <c r="CH666" s="12"/>
      <c r="CJ666" s="12"/>
      <c r="CK666" s="12"/>
      <c r="CN666" s="12"/>
      <c r="CO666" s="12"/>
      <c r="CV666" s="12"/>
      <c r="CW666" s="12"/>
      <c r="CZ666" s="12"/>
      <c r="DA666" s="12"/>
      <c r="DC666" s="12"/>
      <c r="DD666" s="12"/>
      <c r="EX666" s="9"/>
      <c r="EY666" s="9"/>
      <c r="EZ666" s="9"/>
      <c r="FA666" s="15"/>
      <c r="FB666" s="14"/>
      <c r="FC666" s="10"/>
      <c r="FD666" s="10"/>
      <c r="FE666" s="10"/>
      <c r="FF666" s="10"/>
    </row>
    <row r="667" spans="36:162" x14ac:dyDescent="0.25">
      <c r="AJ667" s="12"/>
      <c r="AK667" s="12"/>
      <c r="AQ667" s="12"/>
      <c r="AR667" s="12"/>
      <c r="AU667" s="12"/>
      <c r="AV667" s="12"/>
      <c r="AX667" s="12"/>
      <c r="AY667" s="12"/>
      <c r="BA667" s="12"/>
      <c r="BB667" s="12"/>
      <c r="BD667" s="12"/>
      <c r="BE667" s="12"/>
      <c r="BG667" s="12"/>
      <c r="BH667" s="12"/>
      <c r="BJ667" s="12"/>
      <c r="BK667" s="12"/>
      <c r="BM667" s="12"/>
      <c r="BN667" s="12"/>
      <c r="BQ667" s="12"/>
      <c r="BR667" s="12"/>
      <c r="BU667" s="12"/>
      <c r="BV667" s="12"/>
      <c r="BY667" s="12"/>
      <c r="BZ667" s="12"/>
      <c r="CC667" s="12"/>
      <c r="CD667" s="12"/>
      <c r="CG667" s="12"/>
      <c r="CH667" s="12"/>
      <c r="CJ667" s="12"/>
      <c r="CK667" s="12"/>
      <c r="CN667" s="12"/>
      <c r="CO667" s="12"/>
      <c r="CV667" s="12"/>
      <c r="CW667" s="12"/>
      <c r="CZ667" s="12"/>
      <c r="DA667" s="12"/>
      <c r="DC667" s="12"/>
      <c r="DD667" s="12"/>
      <c r="EX667" s="9"/>
      <c r="EY667" s="9"/>
      <c r="EZ667" s="9"/>
      <c r="FA667" s="15"/>
      <c r="FB667" s="14"/>
      <c r="FC667" s="10"/>
      <c r="FD667" s="10"/>
      <c r="FE667" s="10"/>
      <c r="FF667" s="10"/>
    </row>
    <row r="668" spans="36:162" x14ac:dyDescent="0.25">
      <c r="AJ668" s="12"/>
      <c r="AK668" s="12"/>
      <c r="AQ668" s="12"/>
      <c r="AR668" s="12"/>
      <c r="AU668" s="12"/>
      <c r="AV668" s="12"/>
      <c r="AX668" s="12"/>
      <c r="AY668" s="12"/>
      <c r="BA668" s="12"/>
      <c r="BB668" s="12"/>
      <c r="BD668" s="12"/>
      <c r="BE668" s="12"/>
      <c r="BG668" s="12"/>
      <c r="BH668" s="12"/>
      <c r="BJ668" s="12"/>
      <c r="BK668" s="12"/>
      <c r="BM668" s="12"/>
      <c r="BN668" s="12"/>
      <c r="BQ668" s="12"/>
      <c r="BR668" s="12"/>
      <c r="BU668" s="12"/>
      <c r="BV668" s="12"/>
      <c r="BY668" s="12"/>
      <c r="BZ668" s="12"/>
      <c r="CC668" s="12"/>
      <c r="CD668" s="12"/>
      <c r="CG668" s="12"/>
      <c r="CH668" s="12"/>
      <c r="CJ668" s="12"/>
      <c r="CK668" s="12"/>
      <c r="CN668" s="12"/>
      <c r="CO668" s="12"/>
      <c r="CV668" s="12"/>
      <c r="CW668" s="12"/>
      <c r="CZ668" s="12"/>
      <c r="DA668" s="12"/>
      <c r="DC668" s="12"/>
      <c r="DD668" s="12"/>
      <c r="EX668" s="9"/>
      <c r="EY668" s="9"/>
      <c r="EZ668" s="9"/>
      <c r="FA668" s="15"/>
      <c r="FB668" s="14"/>
      <c r="FC668" s="10"/>
      <c r="FD668" s="10"/>
      <c r="FE668" s="10"/>
      <c r="FF668" s="10"/>
    </row>
    <row r="669" spans="36:162" x14ac:dyDescent="0.25">
      <c r="AJ669" s="12"/>
      <c r="AK669" s="12"/>
      <c r="AQ669" s="12"/>
      <c r="AR669" s="12"/>
      <c r="AU669" s="12"/>
      <c r="AV669" s="12"/>
      <c r="AX669" s="12"/>
      <c r="AY669" s="12"/>
      <c r="BA669" s="12"/>
      <c r="BB669" s="12"/>
      <c r="BD669" s="12"/>
      <c r="BE669" s="12"/>
      <c r="BG669" s="12"/>
      <c r="BH669" s="12"/>
      <c r="BJ669" s="12"/>
      <c r="BK669" s="12"/>
      <c r="BM669" s="12"/>
      <c r="BN669" s="12"/>
      <c r="BQ669" s="12"/>
      <c r="BR669" s="12"/>
      <c r="BU669" s="12"/>
      <c r="BV669" s="12"/>
      <c r="BY669" s="12"/>
      <c r="BZ669" s="12"/>
      <c r="CC669" s="12"/>
      <c r="CD669" s="12"/>
      <c r="CG669" s="12"/>
      <c r="CH669" s="12"/>
      <c r="CJ669" s="12"/>
      <c r="CK669" s="12"/>
      <c r="CN669" s="12"/>
      <c r="CO669" s="12"/>
      <c r="CV669" s="12"/>
      <c r="CW669" s="12"/>
      <c r="CZ669" s="12"/>
      <c r="DA669" s="12"/>
      <c r="DC669" s="12"/>
      <c r="DD669" s="12"/>
      <c r="EX669" s="9"/>
      <c r="EY669" s="9"/>
      <c r="EZ669" s="9"/>
      <c r="FA669" s="15"/>
      <c r="FB669" s="14"/>
      <c r="FC669" s="10"/>
      <c r="FD669" s="10"/>
      <c r="FE669" s="10"/>
      <c r="FF669" s="10"/>
    </row>
    <row r="670" spans="36:162" x14ac:dyDescent="0.25">
      <c r="AJ670" s="12"/>
      <c r="AK670" s="12"/>
      <c r="AQ670" s="12"/>
      <c r="AR670" s="12"/>
      <c r="AU670" s="12"/>
      <c r="AV670" s="12"/>
      <c r="AX670" s="12"/>
      <c r="AY670" s="12"/>
      <c r="BA670" s="12"/>
      <c r="BB670" s="12"/>
      <c r="BD670" s="12"/>
      <c r="BE670" s="12"/>
      <c r="BG670" s="12"/>
      <c r="BH670" s="12"/>
      <c r="BJ670" s="12"/>
      <c r="BK670" s="12"/>
      <c r="BM670" s="12"/>
      <c r="BN670" s="12"/>
      <c r="BQ670" s="12"/>
      <c r="BR670" s="12"/>
      <c r="BU670" s="12"/>
      <c r="BV670" s="12"/>
      <c r="BY670" s="12"/>
      <c r="BZ670" s="12"/>
      <c r="CC670" s="12"/>
      <c r="CD670" s="12"/>
      <c r="CG670" s="12"/>
      <c r="CH670" s="12"/>
      <c r="CJ670" s="12"/>
      <c r="CK670" s="12"/>
      <c r="CN670" s="12"/>
      <c r="CO670" s="12"/>
      <c r="CV670" s="12"/>
      <c r="CW670" s="12"/>
      <c r="CZ670" s="12"/>
      <c r="DA670" s="12"/>
      <c r="DC670" s="12"/>
      <c r="DD670" s="12"/>
      <c r="EX670" s="9"/>
      <c r="EY670" s="9"/>
      <c r="EZ670" s="9"/>
      <c r="FA670" s="15"/>
      <c r="FB670" s="14"/>
      <c r="FC670" s="10"/>
      <c r="FD670" s="10"/>
      <c r="FE670" s="10"/>
      <c r="FF670" s="10"/>
    </row>
    <row r="671" spans="36:162" x14ac:dyDescent="0.25">
      <c r="AJ671" s="12"/>
      <c r="AK671" s="12"/>
      <c r="AQ671" s="12"/>
      <c r="AR671" s="12"/>
      <c r="AU671" s="12"/>
      <c r="AV671" s="12"/>
      <c r="AX671" s="12"/>
      <c r="AY671" s="12"/>
      <c r="BA671" s="12"/>
      <c r="BB671" s="12"/>
      <c r="BD671" s="12"/>
      <c r="BE671" s="12"/>
      <c r="BG671" s="12"/>
      <c r="BH671" s="12"/>
      <c r="BJ671" s="12"/>
      <c r="BK671" s="12"/>
      <c r="BM671" s="12"/>
      <c r="BN671" s="12"/>
      <c r="BQ671" s="12"/>
      <c r="BR671" s="12"/>
      <c r="BU671" s="12"/>
      <c r="BV671" s="12"/>
      <c r="BY671" s="12"/>
      <c r="BZ671" s="12"/>
      <c r="CC671" s="12"/>
      <c r="CD671" s="12"/>
      <c r="CG671" s="12"/>
      <c r="CH671" s="12"/>
      <c r="CJ671" s="12"/>
      <c r="CK671" s="12"/>
      <c r="CN671" s="12"/>
      <c r="CO671" s="12"/>
      <c r="CV671" s="12"/>
      <c r="CW671" s="12"/>
      <c r="CZ671" s="12"/>
      <c r="DA671" s="12"/>
      <c r="DC671" s="12"/>
      <c r="DD671" s="12"/>
      <c r="EX671" s="9"/>
      <c r="EY671" s="9"/>
      <c r="EZ671" s="9"/>
      <c r="FA671" s="15"/>
      <c r="FB671" s="14"/>
      <c r="FC671" s="10"/>
      <c r="FD671" s="10"/>
      <c r="FE671" s="10"/>
      <c r="FF671" s="10"/>
    </row>
    <row r="672" spans="36:162" x14ac:dyDescent="0.25">
      <c r="AJ672" s="12"/>
      <c r="AK672" s="12"/>
      <c r="AQ672" s="12"/>
      <c r="AR672" s="12"/>
      <c r="AU672" s="12"/>
      <c r="AV672" s="12"/>
      <c r="AX672" s="12"/>
      <c r="AY672" s="12"/>
      <c r="BA672" s="12"/>
      <c r="BB672" s="12"/>
      <c r="BD672" s="12"/>
      <c r="BE672" s="12"/>
      <c r="BG672" s="12"/>
      <c r="BH672" s="12"/>
      <c r="BJ672" s="12"/>
      <c r="BK672" s="12"/>
      <c r="BM672" s="12"/>
      <c r="BN672" s="12"/>
      <c r="BQ672" s="12"/>
      <c r="BR672" s="12"/>
      <c r="BU672" s="12"/>
      <c r="BV672" s="12"/>
      <c r="BY672" s="12"/>
      <c r="BZ672" s="12"/>
      <c r="CC672" s="12"/>
      <c r="CD672" s="12"/>
      <c r="CG672" s="12"/>
      <c r="CH672" s="12"/>
      <c r="CJ672" s="12"/>
      <c r="CK672" s="12"/>
      <c r="CN672" s="12"/>
      <c r="CO672" s="12"/>
      <c r="CV672" s="12"/>
      <c r="CW672" s="12"/>
      <c r="CZ672" s="12"/>
      <c r="DA672" s="12"/>
      <c r="DC672" s="12"/>
      <c r="DD672" s="12"/>
      <c r="EX672" s="9"/>
      <c r="EY672" s="9"/>
      <c r="EZ672" s="9"/>
      <c r="FA672" s="15"/>
      <c r="FB672" s="14"/>
      <c r="FC672" s="10"/>
      <c r="FD672" s="10"/>
      <c r="FE672" s="10"/>
      <c r="FF672" s="10"/>
    </row>
    <row r="673" spans="36:162" x14ac:dyDescent="0.25">
      <c r="AJ673" s="12"/>
      <c r="AK673" s="12"/>
      <c r="AQ673" s="12"/>
      <c r="AR673" s="12"/>
      <c r="AU673" s="12"/>
      <c r="AV673" s="12"/>
      <c r="AX673" s="12"/>
      <c r="AY673" s="12"/>
      <c r="BA673" s="12"/>
      <c r="BB673" s="12"/>
      <c r="BD673" s="12"/>
      <c r="BE673" s="12"/>
      <c r="BG673" s="12"/>
      <c r="BH673" s="12"/>
      <c r="BJ673" s="12"/>
      <c r="BK673" s="12"/>
      <c r="BM673" s="12"/>
      <c r="BN673" s="12"/>
      <c r="BQ673" s="12"/>
      <c r="BR673" s="12"/>
      <c r="BU673" s="12"/>
      <c r="BV673" s="12"/>
      <c r="BY673" s="12"/>
      <c r="BZ673" s="12"/>
      <c r="CC673" s="12"/>
      <c r="CD673" s="12"/>
      <c r="CG673" s="12"/>
      <c r="CH673" s="12"/>
      <c r="CJ673" s="12"/>
      <c r="CK673" s="12"/>
      <c r="CN673" s="12"/>
      <c r="CO673" s="12"/>
      <c r="CV673" s="12"/>
      <c r="CW673" s="12"/>
      <c r="CZ673" s="12"/>
      <c r="DA673" s="12"/>
      <c r="DC673" s="12"/>
      <c r="DD673" s="12"/>
      <c r="EX673" s="9"/>
      <c r="EY673" s="9"/>
      <c r="EZ673" s="9"/>
      <c r="FA673" s="15"/>
      <c r="FB673" s="14"/>
      <c r="FC673" s="10"/>
      <c r="FD673" s="10"/>
      <c r="FE673" s="10"/>
      <c r="FF673" s="10"/>
    </row>
    <row r="674" spans="36:162" x14ac:dyDescent="0.25">
      <c r="AJ674" s="12"/>
      <c r="AK674" s="12"/>
      <c r="AQ674" s="12"/>
      <c r="AR674" s="12"/>
      <c r="AU674" s="12"/>
      <c r="AV674" s="12"/>
      <c r="AX674" s="12"/>
      <c r="AY674" s="12"/>
      <c r="BA674" s="12"/>
      <c r="BB674" s="12"/>
      <c r="BD674" s="12"/>
      <c r="BE674" s="12"/>
      <c r="BG674" s="12"/>
      <c r="BH674" s="12"/>
      <c r="BJ674" s="12"/>
      <c r="BK674" s="12"/>
      <c r="BM674" s="12"/>
      <c r="BN674" s="12"/>
      <c r="BQ674" s="12"/>
      <c r="BR674" s="12"/>
      <c r="BU674" s="12"/>
      <c r="BV674" s="12"/>
      <c r="BY674" s="12"/>
      <c r="BZ674" s="12"/>
      <c r="CC674" s="12"/>
      <c r="CD674" s="12"/>
      <c r="CG674" s="12"/>
      <c r="CH674" s="12"/>
      <c r="CJ674" s="12"/>
      <c r="CK674" s="12"/>
      <c r="CN674" s="12"/>
      <c r="CO674" s="12"/>
      <c r="CV674" s="12"/>
      <c r="CW674" s="12"/>
      <c r="CZ674" s="12"/>
      <c r="DA674" s="12"/>
      <c r="DC674" s="12"/>
      <c r="DD674" s="12"/>
      <c r="EX674" s="9"/>
      <c r="EY674" s="9"/>
      <c r="EZ674" s="9"/>
      <c r="FA674" s="15"/>
      <c r="FB674" s="14"/>
      <c r="FC674" s="10"/>
      <c r="FD674" s="10"/>
      <c r="FE674" s="10"/>
      <c r="FF674" s="10"/>
    </row>
    <row r="675" spans="36:162" x14ac:dyDescent="0.25">
      <c r="AJ675" s="12"/>
      <c r="AK675" s="12"/>
      <c r="AQ675" s="12"/>
      <c r="AR675" s="12"/>
      <c r="AU675" s="12"/>
      <c r="AV675" s="12"/>
      <c r="AX675" s="12"/>
      <c r="AY675" s="12"/>
      <c r="BA675" s="12"/>
      <c r="BB675" s="12"/>
      <c r="BD675" s="12"/>
      <c r="BE675" s="12"/>
      <c r="BG675" s="12"/>
      <c r="BH675" s="12"/>
      <c r="BJ675" s="12"/>
      <c r="BK675" s="12"/>
      <c r="BM675" s="12"/>
      <c r="BN675" s="12"/>
      <c r="BQ675" s="12"/>
      <c r="BR675" s="12"/>
      <c r="BU675" s="12"/>
      <c r="BV675" s="12"/>
      <c r="BY675" s="12"/>
      <c r="BZ675" s="12"/>
      <c r="CC675" s="12"/>
      <c r="CD675" s="12"/>
      <c r="CG675" s="12"/>
      <c r="CH675" s="12"/>
      <c r="CJ675" s="12"/>
      <c r="CK675" s="12"/>
      <c r="CN675" s="12"/>
      <c r="CO675" s="12"/>
      <c r="CV675" s="12"/>
      <c r="CW675" s="12"/>
      <c r="CZ675" s="12"/>
      <c r="DA675" s="12"/>
      <c r="DC675" s="12"/>
      <c r="DD675" s="12"/>
      <c r="EX675" s="9"/>
      <c r="EY675" s="9"/>
      <c r="EZ675" s="9"/>
      <c r="FA675" s="15"/>
      <c r="FB675" s="14"/>
      <c r="FC675" s="10"/>
      <c r="FD675" s="10"/>
      <c r="FE675" s="10"/>
      <c r="FF675" s="10"/>
    </row>
    <row r="676" spans="36:162" x14ac:dyDescent="0.25">
      <c r="AJ676" s="12"/>
      <c r="AK676" s="12"/>
      <c r="AQ676" s="12"/>
      <c r="AR676" s="12"/>
      <c r="AU676" s="12"/>
      <c r="AV676" s="12"/>
      <c r="AX676" s="12"/>
      <c r="AY676" s="12"/>
      <c r="BA676" s="12"/>
      <c r="BB676" s="12"/>
      <c r="BD676" s="12"/>
      <c r="BE676" s="12"/>
      <c r="BG676" s="12"/>
      <c r="BH676" s="12"/>
      <c r="BJ676" s="12"/>
      <c r="BK676" s="12"/>
      <c r="BM676" s="12"/>
      <c r="BN676" s="12"/>
      <c r="BQ676" s="12"/>
      <c r="BR676" s="12"/>
      <c r="BU676" s="12"/>
      <c r="BV676" s="12"/>
      <c r="BY676" s="12"/>
      <c r="BZ676" s="12"/>
      <c r="CC676" s="12"/>
      <c r="CD676" s="12"/>
      <c r="CG676" s="12"/>
      <c r="CH676" s="12"/>
      <c r="CJ676" s="12"/>
      <c r="CK676" s="12"/>
      <c r="CN676" s="12"/>
      <c r="CO676" s="12"/>
      <c r="CV676" s="12"/>
      <c r="CW676" s="12"/>
      <c r="CZ676" s="12"/>
      <c r="DA676" s="12"/>
      <c r="DC676" s="12"/>
      <c r="DD676" s="12"/>
      <c r="EX676" s="9"/>
      <c r="EY676" s="9"/>
      <c r="EZ676" s="9"/>
      <c r="FA676" s="15"/>
      <c r="FB676" s="14"/>
      <c r="FC676" s="10"/>
      <c r="FD676" s="10"/>
      <c r="FE676" s="10"/>
      <c r="FF676" s="10"/>
    </row>
    <row r="677" spans="36:162" x14ac:dyDescent="0.25">
      <c r="AJ677" s="12"/>
      <c r="AK677" s="12"/>
      <c r="AQ677" s="12"/>
      <c r="AR677" s="12"/>
      <c r="AU677" s="12"/>
      <c r="AV677" s="12"/>
      <c r="AX677" s="12"/>
      <c r="AY677" s="12"/>
      <c r="BA677" s="12"/>
      <c r="BB677" s="12"/>
      <c r="BD677" s="12"/>
      <c r="BE677" s="12"/>
      <c r="BG677" s="12"/>
      <c r="BH677" s="12"/>
      <c r="BJ677" s="12"/>
      <c r="BK677" s="12"/>
      <c r="BM677" s="12"/>
      <c r="BN677" s="12"/>
      <c r="BQ677" s="12"/>
      <c r="BR677" s="12"/>
      <c r="BU677" s="12"/>
      <c r="BV677" s="12"/>
      <c r="BY677" s="12"/>
      <c r="BZ677" s="12"/>
      <c r="CC677" s="12"/>
      <c r="CD677" s="12"/>
      <c r="CG677" s="12"/>
      <c r="CH677" s="12"/>
      <c r="CJ677" s="12"/>
      <c r="CK677" s="12"/>
      <c r="CN677" s="12"/>
      <c r="CO677" s="12"/>
      <c r="CV677" s="12"/>
      <c r="CW677" s="12"/>
      <c r="CZ677" s="12"/>
      <c r="DA677" s="12"/>
      <c r="DC677" s="12"/>
      <c r="DD677" s="12"/>
      <c r="EX677" s="9"/>
      <c r="EY677" s="9"/>
      <c r="EZ677" s="9"/>
      <c r="FA677" s="15"/>
      <c r="FB677" s="14"/>
      <c r="FC677" s="10"/>
      <c r="FD677" s="10"/>
      <c r="FE677" s="10"/>
      <c r="FF677" s="10"/>
    </row>
    <row r="678" spans="36:162" x14ac:dyDescent="0.25">
      <c r="AJ678" s="12"/>
      <c r="AK678" s="12"/>
      <c r="AQ678" s="12"/>
      <c r="AR678" s="12"/>
      <c r="AU678" s="12"/>
      <c r="AV678" s="12"/>
      <c r="AX678" s="12"/>
      <c r="AY678" s="12"/>
      <c r="BA678" s="12"/>
      <c r="BB678" s="12"/>
      <c r="BD678" s="12"/>
      <c r="BE678" s="12"/>
      <c r="BG678" s="12"/>
      <c r="BH678" s="12"/>
      <c r="BJ678" s="12"/>
      <c r="BK678" s="12"/>
      <c r="BM678" s="12"/>
      <c r="BN678" s="12"/>
      <c r="BQ678" s="12"/>
      <c r="BR678" s="12"/>
      <c r="BU678" s="12"/>
      <c r="BV678" s="12"/>
      <c r="BY678" s="12"/>
      <c r="BZ678" s="12"/>
      <c r="CC678" s="12"/>
      <c r="CD678" s="12"/>
      <c r="CG678" s="12"/>
      <c r="CH678" s="12"/>
      <c r="CJ678" s="12"/>
      <c r="CK678" s="12"/>
      <c r="CN678" s="12"/>
      <c r="CO678" s="12"/>
      <c r="CV678" s="12"/>
      <c r="CW678" s="12"/>
      <c r="CZ678" s="12"/>
      <c r="DA678" s="12"/>
      <c r="DC678" s="12"/>
      <c r="DD678" s="12"/>
      <c r="EX678" s="9"/>
      <c r="EY678" s="9"/>
      <c r="EZ678" s="9"/>
      <c r="FA678" s="15"/>
      <c r="FB678" s="14"/>
      <c r="FC678" s="10"/>
      <c r="FD678" s="10"/>
      <c r="FE678" s="10"/>
      <c r="FF678" s="10"/>
    </row>
    <row r="679" spans="36:162" x14ac:dyDescent="0.25">
      <c r="AJ679" s="12"/>
      <c r="AK679" s="12"/>
      <c r="AQ679" s="12"/>
      <c r="AR679" s="12"/>
      <c r="AU679" s="12"/>
      <c r="AV679" s="12"/>
      <c r="AX679" s="12"/>
      <c r="AY679" s="12"/>
      <c r="BA679" s="12"/>
      <c r="BB679" s="12"/>
      <c r="BD679" s="12"/>
      <c r="BE679" s="12"/>
      <c r="BG679" s="12"/>
      <c r="BH679" s="12"/>
      <c r="BJ679" s="12"/>
      <c r="BK679" s="12"/>
      <c r="BM679" s="12"/>
      <c r="BN679" s="12"/>
      <c r="BQ679" s="12"/>
      <c r="BR679" s="12"/>
      <c r="BU679" s="12"/>
      <c r="BV679" s="12"/>
      <c r="BY679" s="12"/>
      <c r="BZ679" s="12"/>
      <c r="CC679" s="12"/>
      <c r="CD679" s="12"/>
      <c r="CG679" s="12"/>
      <c r="CH679" s="12"/>
      <c r="CJ679" s="12"/>
      <c r="CK679" s="12"/>
      <c r="CN679" s="12"/>
      <c r="CO679" s="12"/>
      <c r="CV679" s="12"/>
      <c r="CW679" s="12"/>
      <c r="CZ679" s="12"/>
      <c r="DA679" s="12"/>
      <c r="DC679" s="12"/>
      <c r="DD679" s="12"/>
      <c r="EX679" s="9"/>
      <c r="EY679" s="9"/>
      <c r="EZ679" s="9"/>
      <c r="FA679" s="15"/>
      <c r="FB679" s="14"/>
      <c r="FC679" s="10"/>
      <c r="FD679" s="10"/>
      <c r="FE679" s="10"/>
      <c r="FF679" s="10"/>
    </row>
    <row r="680" spans="36:162" x14ac:dyDescent="0.25">
      <c r="AJ680" s="12"/>
      <c r="AK680" s="12"/>
      <c r="AQ680" s="12"/>
      <c r="AR680" s="12"/>
      <c r="AU680" s="12"/>
      <c r="AV680" s="12"/>
      <c r="AX680" s="12"/>
      <c r="AY680" s="12"/>
      <c r="BA680" s="12"/>
      <c r="BB680" s="12"/>
      <c r="BD680" s="12"/>
      <c r="BE680" s="12"/>
      <c r="BG680" s="12"/>
      <c r="BH680" s="12"/>
      <c r="BJ680" s="12"/>
      <c r="BK680" s="12"/>
      <c r="BM680" s="12"/>
      <c r="BN680" s="12"/>
      <c r="BQ680" s="12"/>
      <c r="BR680" s="12"/>
      <c r="BU680" s="12"/>
      <c r="BV680" s="12"/>
      <c r="BY680" s="12"/>
      <c r="BZ680" s="12"/>
      <c r="CC680" s="12"/>
      <c r="CD680" s="12"/>
      <c r="CG680" s="12"/>
      <c r="CH680" s="12"/>
      <c r="CJ680" s="12"/>
      <c r="CK680" s="12"/>
      <c r="CN680" s="12"/>
      <c r="CO680" s="12"/>
      <c r="CV680" s="12"/>
      <c r="CW680" s="12"/>
      <c r="CZ680" s="12"/>
      <c r="DA680" s="12"/>
      <c r="DC680" s="12"/>
      <c r="DD680" s="12"/>
      <c r="EX680" s="9"/>
      <c r="EY680" s="9"/>
      <c r="EZ680" s="9"/>
      <c r="FA680" s="15"/>
      <c r="FB680" s="14"/>
      <c r="FC680" s="10"/>
      <c r="FD680" s="10"/>
      <c r="FE680" s="10"/>
      <c r="FF680" s="10"/>
    </row>
    <row r="681" spans="36:162" x14ac:dyDescent="0.25">
      <c r="AJ681" s="12"/>
      <c r="AK681" s="12"/>
      <c r="AQ681" s="12"/>
      <c r="AR681" s="12"/>
      <c r="AU681" s="12"/>
      <c r="AV681" s="12"/>
      <c r="AX681" s="12"/>
      <c r="AY681" s="12"/>
      <c r="BA681" s="12"/>
      <c r="BB681" s="12"/>
      <c r="BD681" s="12"/>
      <c r="BE681" s="12"/>
      <c r="BG681" s="12"/>
      <c r="BH681" s="12"/>
      <c r="BJ681" s="12"/>
      <c r="BK681" s="12"/>
      <c r="BM681" s="12"/>
      <c r="BN681" s="12"/>
      <c r="BQ681" s="12"/>
      <c r="BR681" s="12"/>
      <c r="BU681" s="12"/>
      <c r="BV681" s="12"/>
      <c r="BY681" s="12"/>
      <c r="BZ681" s="12"/>
      <c r="CC681" s="12"/>
      <c r="CD681" s="12"/>
      <c r="CG681" s="12"/>
      <c r="CH681" s="12"/>
      <c r="CJ681" s="12"/>
      <c r="CK681" s="12"/>
      <c r="CN681" s="12"/>
      <c r="CO681" s="12"/>
      <c r="CV681" s="12"/>
      <c r="CW681" s="12"/>
      <c r="CZ681" s="12"/>
      <c r="DA681" s="12"/>
      <c r="DC681" s="12"/>
      <c r="DD681" s="12"/>
      <c r="EX681" s="9"/>
      <c r="EY681" s="9"/>
      <c r="EZ681" s="9"/>
      <c r="FA681" s="15"/>
      <c r="FB681" s="14"/>
      <c r="FC681" s="10"/>
      <c r="FD681" s="10"/>
      <c r="FE681" s="10"/>
      <c r="FF681" s="10"/>
    </row>
    <row r="682" spans="36:162" x14ac:dyDescent="0.25">
      <c r="AJ682" s="12"/>
      <c r="AK682" s="12"/>
      <c r="AQ682" s="12"/>
      <c r="AR682" s="12"/>
      <c r="AU682" s="12"/>
      <c r="AV682" s="12"/>
      <c r="AX682" s="12"/>
      <c r="AY682" s="12"/>
      <c r="BA682" s="12"/>
      <c r="BB682" s="12"/>
      <c r="BD682" s="12"/>
      <c r="BE682" s="12"/>
      <c r="BG682" s="12"/>
      <c r="BH682" s="12"/>
      <c r="BJ682" s="12"/>
      <c r="BK682" s="12"/>
      <c r="BM682" s="12"/>
      <c r="BN682" s="12"/>
      <c r="BQ682" s="12"/>
      <c r="BR682" s="12"/>
      <c r="BU682" s="12"/>
      <c r="BV682" s="12"/>
      <c r="BY682" s="12"/>
      <c r="BZ682" s="12"/>
      <c r="CC682" s="12"/>
      <c r="CD682" s="12"/>
      <c r="CG682" s="12"/>
      <c r="CH682" s="12"/>
      <c r="CJ682" s="12"/>
      <c r="CK682" s="12"/>
      <c r="CN682" s="12"/>
      <c r="CO682" s="12"/>
      <c r="CV682" s="12"/>
      <c r="CW682" s="12"/>
      <c r="CZ682" s="12"/>
      <c r="DA682" s="12"/>
      <c r="DC682" s="12"/>
      <c r="DD682" s="12"/>
      <c r="EX682" s="9"/>
      <c r="EY682" s="9"/>
      <c r="EZ682" s="9"/>
      <c r="FA682" s="15"/>
      <c r="FB682" s="14"/>
      <c r="FC682" s="10"/>
      <c r="FD682" s="10"/>
      <c r="FE682" s="10"/>
      <c r="FF682" s="10"/>
    </row>
    <row r="683" spans="36:162" x14ac:dyDescent="0.25">
      <c r="AJ683" s="12"/>
      <c r="AK683" s="12"/>
      <c r="AQ683" s="12"/>
      <c r="AR683" s="12"/>
      <c r="AU683" s="12"/>
      <c r="AV683" s="12"/>
      <c r="AX683" s="12"/>
      <c r="AY683" s="12"/>
      <c r="BA683" s="12"/>
      <c r="BB683" s="12"/>
      <c r="BD683" s="12"/>
      <c r="BE683" s="12"/>
      <c r="BG683" s="12"/>
      <c r="BH683" s="12"/>
      <c r="BJ683" s="12"/>
      <c r="BK683" s="12"/>
      <c r="BM683" s="12"/>
      <c r="BN683" s="12"/>
      <c r="BQ683" s="12"/>
      <c r="BR683" s="12"/>
      <c r="BU683" s="12"/>
      <c r="BV683" s="12"/>
      <c r="BY683" s="12"/>
      <c r="BZ683" s="12"/>
      <c r="CC683" s="12"/>
      <c r="CD683" s="12"/>
      <c r="CG683" s="12"/>
      <c r="CH683" s="12"/>
      <c r="CJ683" s="12"/>
      <c r="CK683" s="12"/>
      <c r="CN683" s="12"/>
      <c r="CO683" s="12"/>
      <c r="CV683" s="12"/>
      <c r="CW683" s="12"/>
      <c r="CZ683" s="12"/>
      <c r="DA683" s="12"/>
      <c r="DC683" s="12"/>
      <c r="DD683" s="12"/>
      <c r="EX683" s="9"/>
      <c r="EY683" s="9"/>
      <c r="EZ683" s="9"/>
      <c r="FA683" s="15"/>
      <c r="FB683" s="14"/>
      <c r="FC683" s="10"/>
      <c r="FD683" s="10"/>
      <c r="FE683" s="10"/>
      <c r="FF683" s="10"/>
    </row>
    <row r="684" spans="36:162" x14ac:dyDescent="0.25">
      <c r="AJ684" s="12"/>
      <c r="AK684" s="12"/>
      <c r="AQ684" s="12"/>
      <c r="AR684" s="12"/>
      <c r="AU684" s="12"/>
      <c r="AV684" s="12"/>
      <c r="AX684" s="12"/>
      <c r="AY684" s="12"/>
      <c r="BA684" s="12"/>
      <c r="BB684" s="12"/>
      <c r="BD684" s="12"/>
      <c r="BE684" s="12"/>
      <c r="BG684" s="12"/>
      <c r="BH684" s="12"/>
      <c r="BJ684" s="12"/>
      <c r="BK684" s="12"/>
      <c r="BM684" s="12"/>
      <c r="BN684" s="12"/>
      <c r="BQ684" s="12"/>
      <c r="BR684" s="12"/>
      <c r="BU684" s="12"/>
      <c r="BV684" s="12"/>
      <c r="BY684" s="12"/>
      <c r="BZ684" s="12"/>
      <c r="CC684" s="12"/>
      <c r="CD684" s="12"/>
      <c r="CG684" s="12"/>
      <c r="CH684" s="12"/>
      <c r="CJ684" s="12"/>
      <c r="CK684" s="12"/>
      <c r="CN684" s="12"/>
      <c r="CO684" s="12"/>
      <c r="CV684" s="12"/>
      <c r="CW684" s="12"/>
      <c r="CZ684" s="12"/>
      <c r="DA684" s="12"/>
      <c r="DC684" s="12"/>
      <c r="DD684" s="12"/>
      <c r="EX684" s="9"/>
      <c r="EY684" s="9"/>
      <c r="EZ684" s="9"/>
      <c r="FA684" s="15"/>
      <c r="FB684" s="14"/>
      <c r="FC684" s="10"/>
      <c r="FD684" s="10"/>
      <c r="FE684" s="10"/>
      <c r="FF684" s="10"/>
    </row>
    <row r="685" spans="36:162" x14ac:dyDescent="0.25">
      <c r="AJ685" s="12"/>
      <c r="AK685" s="12"/>
      <c r="AQ685" s="12"/>
      <c r="AR685" s="12"/>
      <c r="AU685" s="12"/>
      <c r="AV685" s="12"/>
      <c r="AX685" s="12"/>
      <c r="AY685" s="12"/>
      <c r="BA685" s="12"/>
      <c r="BB685" s="12"/>
      <c r="BD685" s="12"/>
      <c r="BE685" s="12"/>
      <c r="BG685" s="12"/>
      <c r="BH685" s="12"/>
      <c r="BJ685" s="12"/>
      <c r="BK685" s="12"/>
      <c r="BM685" s="12"/>
      <c r="BN685" s="12"/>
      <c r="BQ685" s="12"/>
      <c r="BR685" s="12"/>
      <c r="BU685" s="12"/>
      <c r="BV685" s="12"/>
      <c r="BY685" s="12"/>
      <c r="BZ685" s="12"/>
      <c r="CC685" s="12"/>
      <c r="CD685" s="12"/>
      <c r="CG685" s="12"/>
      <c r="CH685" s="12"/>
      <c r="CJ685" s="12"/>
      <c r="CK685" s="12"/>
      <c r="CN685" s="12"/>
      <c r="CO685" s="12"/>
      <c r="CV685" s="12"/>
      <c r="CW685" s="12"/>
      <c r="CZ685" s="12"/>
      <c r="DA685" s="12"/>
      <c r="DC685" s="12"/>
      <c r="DD685" s="12"/>
      <c r="EX685" s="9"/>
      <c r="EY685" s="9"/>
      <c r="EZ685" s="9"/>
      <c r="FA685" s="15"/>
      <c r="FB685" s="14"/>
      <c r="FC685" s="10"/>
      <c r="FD685" s="10"/>
      <c r="FE685" s="10"/>
      <c r="FF685" s="10"/>
    </row>
    <row r="686" spans="36:162" x14ac:dyDescent="0.25">
      <c r="AJ686" s="12"/>
      <c r="AK686" s="12"/>
      <c r="AQ686" s="12"/>
      <c r="AR686" s="12"/>
      <c r="AU686" s="12"/>
      <c r="AV686" s="12"/>
      <c r="AX686" s="12"/>
      <c r="AY686" s="12"/>
      <c r="BA686" s="12"/>
      <c r="BB686" s="12"/>
      <c r="BD686" s="12"/>
      <c r="BE686" s="12"/>
      <c r="BG686" s="12"/>
      <c r="BH686" s="12"/>
      <c r="BJ686" s="12"/>
      <c r="BK686" s="12"/>
      <c r="BM686" s="12"/>
      <c r="BN686" s="12"/>
      <c r="BQ686" s="12"/>
      <c r="BR686" s="12"/>
      <c r="BU686" s="12"/>
      <c r="BV686" s="12"/>
      <c r="BY686" s="12"/>
      <c r="BZ686" s="12"/>
      <c r="CC686" s="12"/>
      <c r="CD686" s="12"/>
      <c r="CG686" s="12"/>
      <c r="CH686" s="12"/>
      <c r="CJ686" s="12"/>
      <c r="CK686" s="12"/>
      <c r="CN686" s="12"/>
      <c r="CO686" s="12"/>
      <c r="CV686" s="12"/>
      <c r="CW686" s="12"/>
      <c r="CZ686" s="12"/>
      <c r="DA686" s="12"/>
      <c r="DC686" s="12"/>
      <c r="DD686" s="12"/>
      <c r="EX686" s="9"/>
      <c r="EY686" s="9"/>
      <c r="EZ686" s="9"/>
      <c r="FA686" s="15"/>
      <c r="FB686" s="14"/>
      <c r="FC686" s="10"/>
      <c r="FD686" s="10"/>
      <c r="FE686" s="10"/>
      <c r="FF686" s="10"/>
    </row>
    <row r="687" spans="36:162" x14ac:dyDescent="0.25">
      <c r="AJ687" s="12"/>
      <c r="AK687" s="12"/>
      <c r="AQ687" s="12"/>
      <c r="AR687" s="12"/>
      <c r="AU687" s="12"/>
      <c r="AV687" s="12"/>
      <c r="AX687" s="12"/>
      <c r="AY687" s="12"/>
      <c r="BA687" s="12"/>
      <c r="BB687" s="12"/>
      <c r="BD687" s="12"/>
      <c r="BE687" s="12"/>
      <c r="BG687" s="12"/>
      <c r="BH687" s="12"/>
      <c r="BJ687" s="12"/>
      <c r="BK687" s="12"/>
      <c r="BM687" s="12"/>
      <c r="BN687" s="12"/>
      <c r="BQ687" s="12"/>
      <c r="BR687" s="12"/>
      <c r="BU687" s="12"/>
      <c r="BV687" s="12"/>
      <c r="BY687" s="12"/>
      <c r="BZ687" s="12"/>
      <c r="CC687" s="12"/>
      <c r="CD687" s="12"/>
      <c r="CG687" s="12"/>
      <c r="CH687" s="12"/>
      <c r="CJ687" s="12"/>
      <c r="CK687" s="12"/>
      <c r="CN687" s="12"/>
      <c r="CO687" s="12"/>
      <c r="CV687" s="12"/>
      <c r="CW687" s="12"/>
      <c r="CZ687" s="12"/>
      <c r="DA687" s="12"/>
      <c r="DC687" s="12"/>
      <c r="DD687" s="12"/>
      <c r="EX687" s="9"/>
      <c r="EY687" s="9"/>
      <c r="EZ687" s="9"/>
      <c r="FA687" s="15"/>
      <c r="FB687" s="14"/>
      <c r="FC687" s="10"/>
      <c r="FD687" s="10"/>
      <c r="FE687" s="10"/>
      <c r="FF687" s="10"/>
    </row>
    <row r="688" spans="36:162" x14ac:dyDescent="0.25">
      <c r="AJ688" s="12"/>
      <c r="AK688" s="12"/>
      <c r="AQ688" s="12"/>
      <c r="AR688" s="12"/>
      <c r="AU688" s="12"/>
      <c r="AV688" s="12"/>
      <c r="AX688" s="12"/>
      <c r="AY688" s="12"/>
      <c r="BA688" s="12"/>
      <c r="BB688" s="12"/>
      <c r="BD688" s="12"/>
      <c r="BE688" s="12"/>
      <c r="BG688" s="12"/>
      <c r="BH688" s="12"/>
      <c r="BJ688" s="12"/>
      <c r="BK688" s="12"/>
      <c r="BM688" s="12"/>
      <c r="BN688" s="12"/>
      <c r="BQ688" s="12"/>
      <c r="BR688" s="12"/>
      <c r="BU688" s="12"/>
      <c r="BV688" s="12"/>
      <c r="BY688" s="12"/>
      <c r="BZ688" s="12"/>
      <c r="CC688" s="12"/>
      <c r="CD688" s="12"/>
      <c r="CG688" s="12"/>
      <c r="CH688" s="12"/>
      <c r="CJ688" s="12"/>
      <c r="CK688" s="12"/>
      <c r="CN688" s="12"/>
      <c r="CO688" s="12"/>
      <c r="CV688" s="12"/>
      <c r="CW688" s="12"/>
      <c r="CZ688" s="12"/>
      <c r="DA688" s="12"/>
      <c r="DC688" s="12"/>
      <c r="DD688" s="12"/>
      <c r="EX688" s="9"/>
      <c r="EY688" s="9"/>
      <c r="EZ688" s="9"/>
      <c r="FA688" s="15"/>
      <c r="FB688" s="14"/>
      <c r="FC688" s="10"/>
      <c r="FD688" s="10"/>
      <c r="FE688" s="10"/>
      <c r="FF688" s="10"/>
    </row>
    <row r="689" spans="36:162" x14ac:dyDescent="0.25">
      <c r="AJ689" s="12"/>
      <c r="AK689" s="12"/>
      <c r="AQ689" s="12"/>
      <c r="AR689" s="12"/>
      <c r="AU689" s="12"/>
      <c r="AV689" s="12"/>
      <c r="AX689" s="12"/>
      <c r="AY689" s="12"/>
      <c r="BA689" s="12"/>
      <c r="BB689" s="12"/>
      <c r="BD689" s="12"/>
      <c r="BE689" s="12"/>
      <c r="BG689" s="12"/>
      <c r="BH689" s="12"/>
      <c r="BJ689" s="12"/>
      <c r="BK689" s="12"/>
      <c r="BM689" s="12"/>
      <c r="BN689" s="12"/>
      <c r="BQ689" s="12"/>
      <c r="BR689" s="12"/>
      <c r="BU689" s="12"/>
      <c r="BV689" s="12"/>
      <c r="BY689" s="12"/>
      <c r="BZ689" s="12"/>
      <c r="CC689" s="12"/>
      <c r="CD689" s="12"/>
      <c r="CG689" s="12"/>
      <c r="CH689" s="12"/>
      <c r="CJ689" s="12"/>
      <c r="CK689" s="12"/>
      <c r="CN689" s="12"/>
      <c r="CO689" s="12"/>
      <c r="CV689" s="12"/>
      <c r="CW689" s="12"/>
      <c r="CZ689" s="12"/>
      <c r="DA689" s="12"/>
      <c r="DC689" s="12"/>
      <c r="DD689" s="12"/>
      <c r="EX689" s="9"/>
      <c r="EY689" s="9"/>
      <c r="EZ689" s="9"/>
      <c r="FA689" s="15"/>
      <c r="FB689" s="14"/>
      <c r="FC689" s="10"/>
      <c r="FD689" s="10"/>
      <c r="FE689" s="10"/>
      <c r="FF689" s="10"/>
    </row>
    <row r="690" spans="36:162" x14ac:dyDescent="0.25">
      <c r="AJ690" s="12"/>
      <c r="AK690" s="12"/>
      <c r="AQ690" s="12"/>
      <c r="AR690" s="12"/>
      <c r="AU690" s="12"/>
      <c r="AV690" s="12"/>
      <c r="AX690" s="12"/>
      <c r="AY690" s="12"/>
      <c r="BA690" s="12"/>
      <c r="BB690" s="12"/>
      <c r="BD690" s="12"/>
      <c r="BE690" s="12"/>
      <c r="BG690" s="12"/>
      <c r="BH690" s="12"/>
      <c r="BJ690" s="12"/>
      <c r="BK690" s="12"/>
      <c r="BM690" s="12"/>
      <c r="BN690" s="12"/>
      <c r="BQ690" s="12"/>
      <c r="BR690" s="12"/>
      <c r="BU690" s="12"/>
      <c r="BV690" s="12"/>
      <c r="BY690" s="12"/>
      <c r="BZ690" s="12"/>
      <c r="CC690" s="12"/>
      <c r="CD690" s="12"/>
      <c r="CG690" s="12"/>
      <c r="CH690" s="12"/>
      <c r="CJ690" s="12"/>
      <c r="CK690" s="12"/>
      <c r="CN690" s="12"/>
      <c r="CO690" s="12"/>
      <c r="CV690" s="12"/>
      <c r="CW690" s="12"/>
      <c r="CZ690" s="12"/>
      <c r="DA690" s="12"/>
      <c r="DC690" s="12"/>
      <c r="DD690" s="12"/>
      <c r="EX690" s="9"/>
      <c r="EY690" s="9"/>
      <c r="EZ690" s="9"/>
      <c r="FA690" s="15"/>
      <c r="FB690" s="14"/>
      <c r="FC690" s="10"/>
      <c r="FD690" s="10"/>
      <c r="FE690" s="10"/>
      <c r="FF690" s="10"/>
    </row>
    <row r="691" spans="36:162" x14ac:dyDescent="0.25">
      <c r="AJ691" s="12"/>
      <c r="AK691" s="12"/>
      <c r="AQ691" s="12"/>
      <c r="AR691" s="12"/>
      <c r="AU691" s="12"/>
      <c r="AV691" s="12"/>
      <c r="AX691" s="12"/>
      <c r="AY691" s="12"/>
      <c r="BA691" s="12"/>
      <c r="BB691" s="12"/>
      <c r="BD691" s="12"/>
      <c r="BE691" s="12"/>
      <c r="BG691" s="12"/>
      <c r="BH691" s="12"/>
      <c r="BJ691" s="12"/>
      <c r="BK691" s="12"/>
      <c r="BM691" s="12"/>
      <c r="BN691" s="12"/>
      <c r="BQ691" s="12"/>
      <c r="BR691" s="12"/>
      <c r="BU691" s="12"/>
      <c r="BV691" s="12"/>
      <c r="BY691" s="12"/>
      <c r="BZ691" s="12"/>
      <c r="CC691" s="12"/>
      <c r="CD691" s="12"/>
      <c r="CG691" s="12"/>
      <c r="CH691" s="12"/>
      <c r="CJ691" s="12"/>
      <c r="CK691" s="12"/>
      <c r="CN691" s="12"/>
      <c r="CO691" s="12"/>
      <c r="CV691" s="12"/>
      <c r="CW691" s="12"/>
      <c r="CZ691" s="12"/>
      <c r="DA691" s="12"/>
      <c r="DC691" s="12"/>
      <c r="DD691" s="12"/>
      <c r="EX691" s="9"/>
      <c r="EY691" s="9"/>
      <c r="EZ691" s="9"/>
      <c r="FA691" s="15"/>
      <c r="FB691" s="14"/>
      <c r="FC691" s="10"/>
      <c r="FD691" s="10"/>
      <c r="FE691" s="10"/>
      <c r="FF691" s="10"/>
    </row>
    <row r="692" spans="36:162" x14ac:dyDescent="0.25">
      <c r="AJ692" s="12"/>
      <c r="AK692" s="12"/>
      <c r="AQ692" s="12"/>
      <c r="AR692" s="12"/>
      <c r="AU692" s="12"/>
      <c r="AV692" s="12"/>
      <c r="AX692" s="12"/>
      <c r="AY692" s="12"/>
      <c r="BA692" s="12"/>
      <c r="BB692" s="12"/>
      <c r="BD692" s="12"/>
      <c r="BE692" s="12"/>
      <c r="BG692" s="12"/>
      <c r="BH692" s="12"/>
      <c r="BJ692" s="12"/>
      <c r="BK692" s="12"/>
      <c r="BM692" s="12"/>
      <c r="BN692" s="12"/>
      <c r="BQ692" s="12"/>
      <c r="BR692" s="12"/>
      <c r="BU692" s="12"/>
      <c r="BV692" s="12"/>
      <c r="BY692" s="12"/>
      <c r="BZ692" s="12"/>
      <c r="CC692" s="12"/>
      <c r="CD692" s="12"/>
      <c r="CG692" s="12"/>
      <c r="CH692" s="12"/>
      <c r="CJ692" s="12"/>
      <c r="CK692" s="12"/>
      <c r="CN692" s="12"/>
      <c r="CO692" s="12"/>
      <c r="CV692" s="12"/>
      <c r="CW692" s="12"/>
      <c r="CZ692" s="12"/>
      <c r="DA692" s="12"/>
      <c r="DC692" s="12"/>
      <c r="DD692" s="12"/>
      <c r="EX692" s="9"/>
      <c r="EY692" s="9"/>
      <c r="EZ692" s="9"/>
      <c r="FA692" s="15"/>
      <c r="FB692" s="14"/>
      <c r="FC692" s="10"/>
      <c r="FD692" s="10"/>
      <c r="FE692" s="10"/>
      <c r="FF692" s="10"/>
    </row>
    <row r="693" spans="36:162" x14ac:dyDescent="0.25">
      <c r="AJ693" s="12"/>
      <c r="AK693" s="12"/>
      <c r="AQ693" s="12"/>
      <c r="AR693" s="12"/>
      <c r="AU693" s="12"/>
      <c r="AV693" s="12"/>
      <c r="AX693" s="12"/>
      <c r="AY693" s="12"/>
      <c r="BA693" s="12"/>
      <c r="BB693" s="12"/>
      <c r="BD693" s="12"/>
      <c r="BE693" s="12"/>
      <c r="BG693" s="12"/>
      <c r="BH693" s="12"/>
      <c r="BJ693" s="12"/>
      <c r="BK693" s="12"/>
      <c r="BM693" s="12"/>
      <c r="BN693" s="12"/>
      <c r="BQ693" s="12"/>
      <c r="BR693" s="12"/>
      <c r="BU693" s="12"/>
      <c r="BV693" s="12"/>
      <c r="BY693" s="12"/>
      <c r="BZ693" s="12"/>
      <c r="CC693" s="12"/>
      <c r="CD693" s="12"/>
      <c r="CG693" s="12"/>
      <c r="CH693" s="12"/>
      <c r="CJ693" s="12"/>
      <c r="CK693" s="12"/>
      <c r="CN693" s="12"/>
      <c r="CO693" s="12"/>
      <c r="CV693" s="12"/>
      <c r="CW693" s="12"/>
      <c r="CZ693" s="12"/>
      <c r="DA693" s="12"/>
      <c r="DC693" s="12"/>
      <c r="DD693" s="12"/>
      <c r="EX693" s="9"/>
      <c r="EY693" s="9"/>
      <c r="EZ693" s="9"/>
      <c r="FA693" s="15"/>
      <c r="FB693" s="14"/>
      <c r="FC693" s="10"/>
      <c r="FD693" s="10"/>
      <c r="FE693" s="10"/>
      <c r="FF693" s="10"/>
    </row>
    <row r="694" spans="36:162" x14ac:dyDescent="0.25">
      <c r="AJ694" s="12"/>
      <c r="AK694" s="12"/>
      <c r="AQ694" s="12"/>
      <c r="AR694" s="12"/>
      <c r="AU694" s="12"/>
      <c r="AV694" s="12"/>
      <c r="AX694" s="12"/>
      <c r="AY694" s="12"/>
      <c r="BA694" s="12"/>
      <c r="BB694" s="12"/>
      <c r="BD694" s="12"/>
      <c r="BE694" s="12"/>
      <c r="BG694" s="12"/>
      <c r="BH694" s="12"/>
      <c r="BJ694" s="12"/>
      <c r="BK694" s="12"/>
      <c r="BM694" s="12"/>
      <c r="BN694" s="12"/>
      <c r="BQ694" s="12"/>
      <c r="BR694" s="12"/>
      <c r="BU694" s="12"/>
      <c r="BV694" s="12"/>
      <c r="BY694" s="12"/>
      <c r="BZ694" s="12"/>
      <c r="CC694" s="12"/>
      <c r="CD694" s="12"/>
      <c r="CG694" s="12"/>
      <c r="CH694" s="12"/>
      <c r="CJ694" s="12"/>
      <c r="CK694" s="12"/>
      <c r="CN694" s="12"/>
      <c r="CO694" s="12"/>
      <c r="CV694" s="12"/>
      <c r="CW694" s="12"/>
      <c r="CZ694" s="12"/>
      <c r="DA694" s="12"/>
      <c r="DC694" s="12"/>
      <c r="DD694" s="12"/>
      <c r="EX694" s="9"/>
      <c r="EY694" s="9"/>
      <c r="EZ694" s="9"/>
      <c r="FA694" s="15"/>
      <c r="FB694" s="14"/>
      <c r="FC694" s="10"/>
      <c r="FD694" s="10"/>
      <c r="FE694" s="10"/>
      <c r="FF694" s="10"/>
    </row>
    <row r="695" spans="36:162" x14ac:dyDescent="0.25">
      <c r="AJ695" s="12"/>
      <c r="AK695" s="12"/>
      <c r="AQ695" s="12"/>
      <c r="AR695" s="12"/>
      <c r="AU695" s="12"/>
      <c r="AV695" s="12"/>
      <c r="AX695" s="12"/>
      <c r="AY695" s="12"/>
      <c r="BA695" s="12"/>
      <c r="BB695" s="12"/>
      <c r="BD695" s="12"/>
      <c r="BE695" s="12"/>
      <c r="BG695" s="12"/>
      <c r="BH695" s="12"/>
      <c r="BJ695" s="12"/>
      <c r="BK695" s="12"/>
      <c r="BM695" s="12"/>
      <c r="BN695" s="12"/>
      <c r="BQ695" s="12"/>
      <c r="BR695" s="12"/>
      <c r="BU695" s="12"/>
      <c r="BV695" s="12"/>
      <c r="BY695" s="12"/>
      <c r="BZ695" s="12"/>
      <c r="CC695" s="12"/>
      <c r="CD695" s="12"/>
      <c r="CG695" s="12"/>
      <c r="CH695" s="12"/>
      <c r="CJ695" s="12"/>
      <c r="CK695" s="12"/>
      <c r="CN695" s="12"/>
      <c r="CO695" s="12"/>
      <c r="CV695" s="12"/>
      <c r="CW695" s="12"/>
      <c r="CZ695" s="12"/>
      <c r="DA695" s="12"/>
      <c r="DC695" s="12"/>
      <c r="DD695" s="12"/>
      <c r="EX695" s="9"/>
      <c r="EY695" s="9"/>
      <c r="EZ695" s="9"/>
      <c r="FA695" s="15"/>
      <c r="FB695" s="14"/>
      <c r="FC695" s="10"/>
      <c r="FD695" s="10"/>
      <c r="FE695" s="10"/>
      <c r="FF695" s="10"/>
    </row>
    <row r="696" spans="36:162" x14ac:dyDescent="0.25">
      <c r="AJ696" s="12"/>
      <c r="AK696" s="12"/>
      <c r="AQ696" s="12"/>
      <c r="AR696" s="12"/>
      <c r="AU696" s="12"/>
      <c r="AV696" s="12"/>
      <c r="AX696" s="12"/>
      <c r="AY696" s="12"/>
      <c r="BA696" s="12"/>
      <c r="BB696" s="12"/>
      <c r="BD696" s="12"/>
      <c r="BE696" s="12"/>
      <c r="BG696" s="12"/>
      <c r="BH696" s="12"/>
      <c r="BJ696" s="12"/>
      <c r="BK696" s="12"/>
      <c r="BM696" s="12"/>
      <c r="BN696" s="12"/>
      <c r="BQ696" s="12"/>
      <c r="BR696" s="12"/>
      <c r="BU696" s="12"/>
      <c r="BV696" s="12"/>
      <c r="BY696" s="12"/>
      <c r="BZ696" s="12"/>
      <c r="CC696" s="12"/>
      <c r="CD696" s="12"/>
      <c r="CG696" s="12"/>
      <c r="CH696" s="12"/>
      <c r="CJ696" s="12"/>
      <c r="CK696" s="12"/>
      <c r="CN696" s="12"/>
      <c r="CO696" s="12"/>
      <c r="CV696" s="12"/>
      <c r="CW696" s="12"/>
      <c r="CZ696" s="12"/>
      <c r="DA696" s="12"/>
      <c r="DC696" s="12"/>
      <c r="DD696" s="12"/>
      <c r="EX696" s="9"/>
      <c r="EY696" s="9"/>
      <c r="EZ696" s="9"/>
      <c r="FA696" s="15"/>
      <c r="FB696" s="14"/>
      <c r="FC696" s="10"/>
      <c r="FD696" s="10"/>
      <c r="FE696" s="10"/>
      <c r="FF696" s="10"/>
    </row>
    <row r="697" spans="36:162" x14ac:dyDescent="0.25">
      <c r="AJ697" s="12"/>
      <c r="AK697" s="12"/>
      <c r="AQ697" s="12"/>
      <c r="AR697" s="12"/>
      <c r="AU697" s="12"/>
      <c r="AV697" s="12"/>
      <c r="AX697" s="12"/>
      <c r="AY697" s="12"/>
      <c r="BA697" s="12"/>
      <c r="BB697" s="12"/>
      <c r="BD697" s="12"/>
      <c r="BE697" s="12"/>
      <c r="BG697" s="12"/>
      <c r="BH697" s="12"/>
      <c r="BJ697" s="12"/>
      <c r="BK697" s="12"/>
      <c r="BM697" s="12"/>
      <c r="BN697" s="12"/>
      <c r="BQ697" s="12"/>
      <c r="BR697" s="12"/>
      <c r="BU697" s="12"/>
      <c r="BV697" s="12"/>
      <c r="BY697" s="12"/>
      <c r="BZ697" s="12"/>
      <c r="CC697" s="12"/>
      <c r="CD697" s="12"/>
      <c r="CG697" s="12"/>
      <c r="CH697" s="12"/>
      <c r="CJ697" s="12"/>
      <c r="CK697" s="12"/>
      <c r="CN697" s="12"/>
      <c r="CO697" s="12"/>
      <c r="CV697" s="12"/>
      <c r="CW697" s="12"/>
      <c r="CZ697" s="12"/>
      <c r="DA697" s="12"/>
      <c r="DC697" s="12"/>
      <c r="DD697" s="12"/>
      <c r="EX697" s="9"/>
      <c r="EY697" s="9"/>
      <c r="EZ697" s="9"/>
      <c r="FA697" s="15"/>
      <c r="FB697" s="14"/>
      <c r="FC697" s="10"/>
      <c r="FD697" s="10"/>
      <c r="FE697" s="10"/>
      <c r="FF697" s="10"/>
    </row>
    <row r="698" spans="36:162" x14ac:dyDescent="0.25">
      <c r="AJ698" s="12"/>
      <c r="AK698" s="12"/>
      <c r="AQ698" s="12"/>
      <c r="AR698" s="12"/>
      <c r="AU698" s="12"/>
      <c r="AV698" s="12"/>
      <c r="AX698" s="12"/>
      <c r="AY698" s="12"/>
      <c r="BA698" s="12"/>
      <c r="BB698" s="12"/>
      <c r="BD698" s="12"/>
      <c r="BE698" s="12"/>
      <c r="BG698" s="12"/>
      <c r="BH698" s="12"/>
      <c r="BJ698" s="12"/>
      <c r="BK698" s="12"/>
      <c r="BM698" s="12"/>
      <c r="BN698" s="12"/>
      <c r="BQ698" s="12"/>
      <c r="BR698" s="12"/>
      <c r="BU698" s="12"/>
      <c r="BV698" s="12"/>
      <c r="BY698" s="12"/>
      <c r="BZ698" s="12"/>
      <c r="CC698" s="12"/>
      <c r="CD698" s="12"/>
      <c r="CG698" s="12"/>
      <c r="CH698" s="12"/>
      <c r="CJ698" s="12"/>
      <c r="CK698" s="12"/>
      <c r="CN698" s="12"/>
      <c r="CO698" s="12"/>
      <c r="CV698" s="12"/>
      <c r="CW698" s="12"/>
      <c r="CZ698" s="12"/>
      <c r="DA698" s="12"/>
      <c r="DC698" s="12"/>
      <c r="DD698" s="12"/>
      <c r="EX698" s="9"/>
      <c r="EY698" s="9"/>
      <c r="EZ698" s="9"/>
      <c r="FA698" s="15"/>
      <c r="FB698" s="14"/>
      <c r="FC698" s="10"/>
      <c r="FD698" s="10"/>
      <c r="FE698" s="10"/>
      <c r="FF698" s="10"/>
    </row>
    <row r="699" spans="36:162" x14ac:dyDescent="0.25">
      <c r="AJ699" s="12"/>
      <c r="AK699" s="12"/>
      <c r="AQ699" s="12"/>
      <c r="AR699" s="12"/>
      <c r="AU699" s="12"/>
      <c r="AV699" s="12"/>
      <c r="AX699" s="12"/>
      <c r="AY699" s="12"/>
      <c r="BA699" s="12"/>
      <c r="BB699" s="12"/>
      <c r="BD699" s="12"/>
      <c r="BE699" s="12"/>
      <c r="BG699" s="12"/>
      <c r="BH699" s="12"/>
      <c r="BJ699" s="12"/>
      <c r="BK699" s="12"/>
      <c r="BM699" s="12"/>
      <c r="BN699" s="12"/>
      <c r="BQ699" s="12"/>
      <c r="BR699" s="12"/>
      <c r="BU699" s="12"/>
      <c r="BV699" s="12"/>
      <c r="BY699" s="12"/>
      <c r="BZ699" s="12"/>
      <c r="CC699" s="12"/>
      <c r="CD699" s="12"/>
      <c r="CG699" s="12"/>
      <c r="CH699" s="12"/>
      <c r="CJ699" s="12"/>
      <c r="CK699" s="12"/>
      <c r="CN699" s="12"/>
      <c r="CO699" s="12"/>
      <c r="CV699" s="12"/>
      <c r="CW699" s="12"/>
      <c r="CZ699" s="12"/>
      <c r="DA699" s="12"/>
      <c r="DC699" s="12"/>
      <c r="DD699" s="12"/>
      <c r="EX699" s="9"/>
      <c r="EY699" s="9"/>
      <c r="EZ699" s="9"/>
      <c r="FA699" s="15"/>
      <c r="FB699" s="14"/>
      <c r="FC699" s="10"/>
      <c r="FD699" s="10"/>
      <c r="FE699" s="10"/>
      <c r="FF699" s="10"/>
    </row>
    <row r="700" spans="36:162" x14ac:dyDescent="0.25">
      <c r="AJ700" s="12"/>
      <c r="AK700" s="12"/>
      <c r="AQ700" s="12"/>
      <c r="AR700" s="12"/>
      <c r="AU700" s="12"/>
      <c r="AV700" s="12"/>
      <c r="AX700" s="12"/>
      <c r="AY700" s="12"/>
      <c r="BA700" s="12"/>
      <c r="BB700" s="12"/>
      <c r="BD700" s="12"/>
      <c r="BE700" s="12"/>
      <c r="BG700" s="12"/>
      <c r="BH700" s="12"/>
      <c r="BJ700" s="12"/>
      <c r="BK700" s="12"/>
      <c r="BM700" s="12"/>
      <c r="BN700" s="12"/>
      <c r="BQ700" s="12"/>
      <c r="BR700" s="12"/>
      <c r="BU700" s="12"/>
      <c r="BV700" s="12"/>
      <c r="BY700" s="12"/>
      <c r="BZ700" s="12"/>
      <c r="CC700" s="12"/>
      <c r="CD700" s="12"/>
      <c r="CG700" s="12"/>
      <c r="CH700" s="12"/>
      <c r="CJ700" s="12"/>
      <c r="CK700" s="12"/>
      <c r="CN700" s="12"/>
      <c r="CO700" s="12"/>
      <c r="CV700" s="12"/>
      <c r="CW700" s="12"/>
      <c r="CZ700" s="12"/>
      <c r="DA700" s="12"/>
      <c r="DC700" s="12"/>
      <c r="DD700" s="12"/>
      <c r="EX700" s="9"/>
      <c r="EY700" s="9"/>
      <c r="EZ700" s="9"/>
      <c r="FA700" s="15"/>
      <c r="FB700" s="14"/>
      <c r="FC700" s="10"/>
      <c r="FD700" s="10"/>
      <c r="FE700" s="10"/>
      <c r="FF700" s="10"/>
    </row>
    <row r="701" spans="36:162" x14ac:dyDescent="0.25">
      <c r="AJ701" s="12"/>
      <c r="AK701" s="12"/>
      <c r="AQ701" s="12"/>
      <c r="AR701" s="12"/>
      <c r="AU701" s="12"/>
      <c r="AV701" s="12"/>
      <c r="AX701" s="12"/>
      <c r="AY701" s="12"/>
      <c r="BA701" s="12"/>
      <c r="BB701" s="12"/>
      <c r="BD701" s="12"/>
      <c r="BE701" s="12"/>
      <c r="BG701" s="12"/>
      <c r="BH701" s="12"/>
      <c r="BJ701" s="12"/>
      <c r="BK701" s="12"/>
      <c r="BM701" s="12"/>
      <c r="BN701" s="12"/>
      <c r="BQ701" s="12"/>
      <c r="BR701" s="12"/>
      <c r="BU701" s="12"/>
      <c r="BV701" s="12"/>
      <c r="BY701" s="12"/>
      <c r="BZ701" s="12"/>
      <c r="CC701" s="12"/>
      <c r="CD701" s="12"/>
      <c r="CG701" s="12"/>
      <c r="CH701" s="12"/>
      <c r="CJ701" s="12"/>
      <c r="CK701" s="12"/>
      <c r="CN701" s="12"/>
      <c r="CO701" s="12"/>
      <c r="CV701" s="12"/>
      <c r="CW701" s="12"/>
      <c r="CZ701" s="12"/>
      <c r="DA701" s="12"/>
      <c r="DC701" s="12"/>
      <c r="DD701" s="12"/>
      <c r="EX701" s="9"/>
      <c r="EY701" s="9"/>
      <c r="EZ701" s="9"/>
      <c r="FA701" s="15"/>
      <c r="FB701" s="14"/>
      <c r="FC701" s="10"/>
      <c r="FD701" s="10"/>
      <c r="FE701" s="10"/>
      <c r="FF701" s="10"/>
    </row>
    <row r="702" spans="36:162" x14ac:dyDescent="0.25">
      <c r="AJ702" s="12"/>
      <c r="AK702" s="12"/>
      <c r="AQ702" s="12"/>
      <c r="AR702" s="12"/>
      <c r="AU702" s="12"/>
      <c r="AV702" s="12"/>
      <c r="AX702" s="12"/>
      <c r="AY702" s="12"/>
      <c r="BA702" s="12"/>
      <c r="BB702" s="12"/>
      <c r="BD702" s="12"/>
      <c r="BE702" s="12"/>
      <c r="BG702" s="12"/>
      <c r="BH702" s="12"/>
      <c r="BJ702" s="12"/>
      <c r="BK702" s="12"/>
      <c r="BM702" s="12"/>
      <c r="BN702" s="12"/>
      <c r="BQ702" s="12"/>
      <c r="BR702" s="12"/>
      <c r="BU702" s="12"/>
      <c r="BV702" s="12"/>
      <c r="BY702" s="12"/>
      <c r="BZ702" s="12"/>
      <c r="CC702" s="12"/>
      <c r="CD702" s="12"/>
      <c r="CG702" s="12"/>
      <c r="CH702" s="12"/>
      <c r="CJ702" s="12"/>
      <c r="CK702" s="12"/>
      <c r="CN702" s="12"/>
      <c r="CO702" s="12"/>
      <c r="CV702" s="12"/>
      <c r="CW702" s="12"/>
      <c r="CZ702" s="12"/>
      <c r="DA702" s="12"/>
      <c r="DC702" s="12"/>
      <c r="DD702" s="12"/>
      <c r="EX702" s="9"/>
      <c r="EY702" s="9"/>
      <c r="EZ702" s="9"/>
      <c r="FA702" s="15"/>
      <c r="FB702" s="14"/>
      <c r="FC702" s="10"/>
      <c r="FD702" s="10"/>
      <c r="FE702" s="10"/>
      <c r="FF702" s="10"/>
    </row>
    <row r="703" spans="36:162" x14ac:dyDescent="0.25">
      <c r="AJ703" s="12"/>
      <c r="AK703" s="12"/>
      <c r="AQ703" s="12"/>
      <c r="AR703" s="12"/>
      <c r="AU703" s="12"/>
      <c r="AV703" s="12"/>
      <c r="AX703" s="12"/>
      <c r="AY703" s="12"/>
      <c r="BA703" s="12"/>
      <c r="BB703" s="12"/>
      <c r="BD703" s="12"/>
      <c r="BE703" s="12"/>
      <c r="BG703" s="12"/>
      <c r="BH703" s="12"/>
      <c r="BJ703" s="12"/>
      <c r="BK703" s="12"/>
      <c r="BM703" s="12"/>
      <c r="BN703" s="12"/>
      <c r="BQ703" s="12"/>
      <c r="BR703" s="12"/>
      <c r="BU703" s="12"/>
      <c r="BV703" s="12"/>
      <c r="BY703" s="12"/>
      <c r="BZ703" s="12"/>
      <c r="CC703" s="12"/>
      <c r="CD703" s="12"/>
      <c r="CG703" s="12"/>
      <c r="CH703" s="12"/>
      <c r="CJ703" s="12"/>
      <c r="CK703" s="12"/>
      <c r="CN703" s="12"/>
      <c r="CO703" s="12"/>
      <c r="CV703" s="12"/>
      <c r="CW703" s="12"/>
      <c r="CZ703" s="12"/>
      <c r="DA703" s="12"/>
      <c r="DC703" s="12"/>
      <c r="DD703" s="12"/>
      <c r="EX703" s="9"/>
      <c r="EY703" s="9"/>
      <c r="EZ703" s="9"/>
      <c r="FA703" s="15"/>
      <c r="FB703" s="14"/>
      <c r="FC703" s="10"/>
      <c r="FD703" s="10"/>
      <c r="FE703" s="10"/>
      <c r="FF703" s="10"/>
    </row>
    <row r="704" spans="36:162" x14ac:dyDescent="0.25">
      <c r="AJ704" s="12"/>
      <c r="AK704" s="12"/>
      <c r="AQ704" s="12"/>
      <c r="AR704" s="12"/>
      <c r="AU704" s="12"/>
      <c r="AV704" s="12"/>
      <c r="AX704" s="12"/>
      <c r="AY704" s="12"/>
      <c r="BA704" s="12"/>
      <c r="BB704" s="12"/>
      <c r="BD704" s="12"/>
      <c r="BE704" s="12"/>
      <c r="BG704" s="12"/>
      <c r="BH704" s="12"/>
      <c r="BJ704" s="12"/>
      <c r="BK704" s="12"/>
      <c r="BM704" s="12"/>
      <c r="BN704" s="12"/>
      <c r="BQ704" s="12"/>
      <c r="BR704" s="12"/>
      <c r="BU704" s="12"/>
      <c r="BV704" s="12"/>
      <c r="BY704" s="12"/>
      <c r="BZ704" s="12"/>
      <c r="CC704" s="12"/>
      <c r="CD704" s="12"/>
      <c r="CG704" s="12"/>
      <c r="CH704" s="12"/>
      <c r="CJ704" s="12"/>
      <c r="CK704" s="12"/>
      <c r="CN704" s="12"/>
      <c r="CO704" s="12"/>
      <c r="CV704" s="12"/>
      <c r="CW704" s="12"/>
      <c r="CZ704" s="12"/>
      <c r="DA704" s="12"/>
      <c r="DC704" s="12"/>
      <c r="DD704" s="12"/>
      <c r="EX704" s="9"/>
      <c r="EY704" s="9"/>
      <c r="EZ704" s="9"/>
      <c r="FA704" s="15"/>
      <c r="FB704" s="14"/>
      <c r="FC704" s="10"/>
      <c r="FD704" s="10"/>
      <c r="FE704" s="10"/>
      <c r="FF704" s="10"/>
    </row>
    <row r="705" spans="36:162" x14ac:dyDescent="0.25">
      <c r="AJ705" s="12"/>
      <c r="AK705" s="12"/>
      <c r="AQ705" s="12"/>
      <c r="AR705" s="12"/>
      <c r="AU705" s="12"/>
      <c r="AV705" s="12"/>
      <c r="AX705" s="12"/>
      <c r="AY705" s="12"/>
      <c r="BA705" s="12"/>
      <c r="BB705" s="12"/>
      <c r="BD705" s="12"/>
      <c r="BE705" s="12"/>
      <c r="BG705" s="12"/>
      <c r="BH705" s="12"/>
      <c r="BJ705" s="12"/>
      <c r="BK705" s="12"/>
      <c r="BM705" s="12"/>
      <c r="BN705" s="12"/>
      <c r="BQ705" s="12"/>
      <c r="BR705" s="12"/>
      <c r="BU705" s="12"/>
      <c r="BV705" s="12"/>
      <c r="BY705" s="12"/>
      <c r="BZ705" s="12"/>
      <c r="CC705" s="12"/>
      <c r="CD705" s="12"/>
      <c r="CG705" s="12"/>
      <c r="CH705" s="12"/>
      <c r="CJ705" s="12"/>
      <c r="CK705" s="12"/>
      <c r="CN705" s="12"/>
      <c r="CO705" s="12"/>
      <c r="CV705" s="12"/>
      <c r="CW705" s="12"/>
      <c r="CZ705" s="12"/>
      <c r="DA705" s="12"/>
      <c r="DC705" s="12"/>
      <c r="DD705" s="12"/>
      <c r="EX705" s="9"/>
      <c r="EY705" s="9"/>
      <c r="EZ705" s="9"/>
      <c r="FA705" s="15"/>
      <c r="FB705" s="14"/>
      <c r="FC705" s="10"/>
      <c r="FD705" s="10"/>
      <c r="FE705" s="10"/>
      <c r="FF705" s="10"/>
    </row>
    <row r="706" spans="36:162" x14ac:dyDescent="0.25">
      <c r="AJ706" s="12"/>
      <c r="AK706" s="12"/>
      <c r="AQ706" s="12"/>
      <c r="AR706" s="12"/>
      <c r="AU706" s="12"/>
      <c r="AV706" s="12"/>
      <c r="AX706" s="12"/>
      <c r="AY706" s="12"/>
      <c r="BA706" s="12"/>
      <c r="BB706" s="12"/>
      <c r="BD706" s="12"/>
      <c r="BE706" s="12"/>
      <c r="BG706" s="12"/>
      <c r="BH706" s="12"/>
      <c r="BJ706" s="12"/>
      <c r="BK706" s="12"/>
      <c r="BM706" s="12"/>
      <c r="BN706" s="12"/>
      <c r="BQ706" s="12"/>
      <c r="BR706" s="12"/>
      <c r="BU706" s="12"/>
      <c r="BV706" s="12"/>
      <c r="BY706" s="12"/>
      <c r="BZ706" s="12"/>
      <c r="CC706" s="12"/>
      <c r="CD706" s="12"/>
      <c r="CG706" s="12"/>
      <c r="CH706" s="12"/>
      <c r="CJ706" s="12"/>
      <c r="CK706" s="12"/>
      <c r="CN706" s="12"/>
      <c r="CO706" s="12"/>
      <c r="CV706" s="12"/>
      <c r="CW706" s="12"/>
      <c r="CZ706" s="12"/>
      <c r="DA706" s="12"/>
      <c r="DC706" s="12"/>
      <c r="DD706" s="12"/>
      <c r="EX706" s="9"/>
      <c r="EY706" s="9"/>
      <c r="EZ706" s="9"/>
      <c r="FA706" s="15"/>
      <c r="FB706" s="14"/>
      <c r="FC706" s="10"/>
      <c r="FD706" s="10"/>
      <c r="FE706" s="10"/>
      <c r="FF706" s="10"/>
    </row>
    <row r="707" spans="36:162" x14ac:dyDescent="0.25">
      <c r="AJ707" s="12"/>
      <c r="AK707" s="12"/>
      <c r="AQ707" s="12"/>
      <c r="AR707" s="12"/>
      <c r="AU707" s="12"/>
      <c r="AV707" s="12"/>
      <c r="AX707" s="12"/>
      <c r="AY707" s="12"/>
      <c r="BA707" s="12"/>
      <c r="BB707" s="12"/>
      <c r="BD707" s="12"/>
      <c r="BE707" s="12"/>
      <c r="BG707" s="12"/>
      <c r="BH707" s="12"/>
      <c r="BJ707" s="12"/>
      <c r="BK707" s="12"/>
      <c r="BM707" s="12"/>
      <c r="BN707" s="12"/>
      <c r="BQ707" s="12"/>
      <c r="BR707" s="12"/>
      <c r="BU707" s="12"/>
      <c r="BV707" s="12"/>
      <c r="BY707" s="12"/>
      <c r="BZ707" s="12"/>
      <c r="CC707" s="12"/>
      <c r="CD707" s="12"/>
      <c r="CG707" s="12"/>
      <c r="CH707" s="12"/>
      <c r="CJ707" s="12"/>
      <c r="CK707" s="12"/>
      <c r="CN707" s="12"/>
      <c r="CO707" s="12"/>
      <c r="CV707" s="12"/>
      <c r="CW707" s="12"/>
      <c r="CZ707" s="12"/>
      <c r="DA707" s="12"/>
      <c r="DC707" s="12"/>
      <c r="DD707" s="12"/>
      <c r="EX707" s="9"/>
      <c r="EY707" s="9"/>
      <c r="EZ707" s="9"/>
      <c r="FA707" s="15"/>
      <c r="FB707" s="14"/>
      <c r="FC707" s="10"/>
      <c r="FD707" s="10"/>
      <c r="FE707" s="10"/>
      <c r="FF707" s="10"/>
    </row>
    <row r="708" spans="36:162" x14ac:dyDescent="0.25">
      <c r="AJ708" s="12"/>
      <c r="AK708" s="12"/>
      <c r="AQ708" s="12"/>
      <c r="AR708" s="12"/>
      <c r="AU708" s="12"/>
      <c r="AV708" s="12"/>
      <c r="AX708" s="12"/>
      <c r="AY708" s="12"/>
      <c r="BA708" s="12"/>
      <c r="BB708" s="12"/>
      <c r="BD708" s="12"/>
      <c r="BE708" s="12"/>
      <c r="BG708" s="12"/>
      <c r="BH708" s="12"/>
      <c r="BJ708" s="12"/>
      <c r="BK708" s="12"/>
      <c r="BM708" s="12"/>
      <c r="BN708" s="12"/>
      <c r="BQ708" s="12"/>
      <c r="BR708" s="12"/>
      <c r="BU708" s="12"/>
      <c r="BV708" s="12"/>
      <c r="BY708" s="12"/>
      <c r="BZ708" s="12"/>
      <c r="CC708" s="12"/>
      <c r="CD708" s="12"/>
      <c r="CG708" s="12"/>
      <c r="CH708" s="12"/>
      <c r="CJ708" s="12"/>
      <c r="CK708" s="12"/>
      <c r="CN708" s="12"/>
      <c r="CO708" s="12"/>
      <c r="CV708" s="12"/>
      <c r="CW708" s="12"/>
      <c r="CZ708" s="12"/>
      <c r="DA708" s="12"/>
      <c r="DC708" s="12"/>
      <c r="DD708" s="12"/>
      <c r="EX708" s="9"/>
      <c r="EY708" s="9"/>
      <c r="EZ708" s="9"/>
      <c r="FA708" s="15"/>
      <c r="FB708" s="14"/>
      <c r="FC708" s="10"/>
      <c r="FD708" s="10"/>
      <c r="FE708" s="10"/>
      <c r="FF708" s="10"/>
    </row>
    <row r="709" spans="36:162" x14ac:dyDescent="0.25">
      <c r="AJ709" s="12"/>
      <c r="AK709" s="12"/>
      <c r="AQ709" s="12"/>
      <c r="AR709" s="12"/>
      <c r="AU709" s="12"/>
      <c r="AV709" s="12"/>
      <c r="AX709" s="12"/>
      <c r="AY709" s="12"/>
      <c r="BA709" s="12"/>
      <c r="BB709" s="12"/>
      <c r="BD709" s="12"/>
      <c r="BE709" s="12"/>
      <c r="BG709" s="12"/>
      <c r="BH709" s="12"/>
      <c r="BJ709" s="12"/>
      <c r="BK709" s="12"/>
      <c r="BM709" s="12"/>
      <c r="BN709" s="12"/>
      <c r="BQ709" s="12"/>
      <c r="BR709" s="12"/>
      <c r="BU709" s="12"/>
      <c r="BV709" s="12"/>
      <c r="BY709" s="12"/>
      <c r="BZ709" s="12"/>
      <c r="CC709" s="12"/>
      <c r="CD709" s="12"/>
      <c r="CG709" s="12"/>
      <c r="CH709" s="12"/>
      <c r="CJ709" s="12"/>
      <c r="CK709" s="12"/>
      <c r="CN709" s="12"/>
      <c r="CO709" s="12"/>
      <c r="CV709" s="12"/>
      <c r="CW709" s="12"/>
      <c r="CZ709" s="12"/>
      <c r="DA709" s="12"/>
      <c r="DC709" s="12"/>
      <c r="DD709" s="12"/>
      <c r="EX709" s="9"/>
      <c r="EY709" s="9"/>
      <c r="EZ709" s="9"/>
      <c r="FA709" s="15"/>
      <c r="FB709" s="14"/>
      <c r="FC709" s="10"/>
      <c r="FD709" s="10"/>
      <c r="FE709" s="10"/>
      <c r="FF709" s="10"/>
    </row>
    <row r="710" spans="36:162" x14ac:dyDescent="0.25">
      <c r="AJ710" s="12"/>
      <c r="AK710" s="12"/>
      <c r="AQ710" s="12"/>
      <c r="AR710" s="12"/>
      <c r="AU710" s="12"/>
      <c r="AV710" s="12"/>
      <c r="AX710" s="12"/>
      <c r="AY710" s="12"/>
      <c r="BA710" s="12"/>
      <c r="BB710" s="12"/>
      <c r="BD710" s="12"/>
      <c r="BE710" s="12"/>
      <c r="BG710" s="12"/>
      <c r="BH710" s="12"/>
      <c r="BJ710" s="12"/>
      <c r="BK710" s="12"/>
      <c r="BM710" s="12"/>
      <c r="BN710" s="12"/>
      <c r="BQ710" s="12"/>
      <c r="BR710" s="12"/>
      <c r="BU710" s="12"/>
      <c r="BV710" s="12"/>
      <c r="BY710" s="12"/>
      <c r="BZ710" s="12"/>
      <c r="CC710" s="12"/>
      <c r="CD710" s="12"/>
      <c r="CG710" s="12"/>
      <c r="CH710" s="12"/>
      <c r="CJ710" s="12"/>
      <c r="CK710" s="12"/>
      <c r="CN710" s="12"/>
      <c r="CO710" s="12"/>
      <c r="CV710" s="12"/>
      <c r="CW710" s="12"/>
      <c r="CZ710" s="12"/>
      <c r="DA710" s="12"/>
      <c r="DC710" s="12"/>
      <c r="DD710" s="12"/>
      <c r="EX710" s="9"/>
      <c r="EY710" s="9"/>
      <c r="EZ710" s="9"/>
      <c r="FA710" s="15"/>
      <c r="FB710" s="14"/>
      <c r="FC710" s="10"/>
      <c r="FD710" s="10"/>
      <c r="FE710" s="10"/>
      <c r="FF710" s="10"/>
    </row>
    <row r="711" spans="36:162" x14ac:dyDescent="0.25">
      <c r="AJ711" s="12"/>
      <c r="AK711" s="12"/>
      <c r="AQ711" s="12"/>
      <c r="AR711" s="12"/>
      <c r="AU711" s="12"/>
      <c r="AV711" s="12"/>
      <c r="AX711" s="12"/>
      <c r="AY711" s="12"/>
      <c r="BA711" s="12"/>
      <c r="BB711" s="12"/>
      <c r="BD711" s="12"/>
      <c r="BE711" s="12"/>
      <c r="BG711" s="12"/>
      <c r="BH711" s="12"/>
      <c r="BJ711" s="12"/>
      <c r="BK711" s="12"/>
      <c r="BM711" s="12"/>
      <c r="BN711" s="12"/>
      <c r="BQ711" s="12"/>
      <c r="BR711" s="12"/>
      <c r="BU711" s="12"/>
      <c r="BV711" s="12"/>
      <c r="BY711" s="12"/>
      <c r="BZ711" s="12"/>
      <c r="CC711" s="12"/>
      <c r="CD711" s="12"/>
      <c r="CG711" s="12"/>
      <c r="CH711" s="12"/>
      <c r="CJ711" s="12"/>
      <c r="CK711" s="12"/>
      <c r="CN711" s="12"/>
      <c r="CO711" s="12"/>
      <c r="CV711" s="12"/>
      <c r="CW711" s="12"/>
      <c r="CZ711" s="12"/>
      <c r="DA711" s="12"/>
      <c r="DC711" s="12"/>
      <c r="DD711" s="12"/>
      <c r="EX711" s="9"/>
      <c r="EY711" s="9"/>
      <c r="EZ711" s="9"/>
      <c r="FA711" s="15"/>
      <c r="FB711" s="14"/>
      <c r="FC711" s="10"/>
      <c r="FD711" s="10"/>
      <c r="FE711" s="10"/>
      <c r="FF711" s="10"/>
    </row>
    <row r="712" spans="36:162" x14ac:dyDescent="0.25">
      <c r="AJ712" s="12"/>
      <c r="AK712" s="12"/>
      <c r="AQ712" s="12"/>
      <c r="AR712" s="12"/>
      <c r="AU712" s="12"/>
      <c r="AV712" s="12"/>
      <c r="AX712" s="12"/>
      <c r="AY712" s="12"/>
      <c r="BA712" s="12"/>
      <c r="BB712" s="12"/>
      <c r="BD712" s="12"/>
      <c r="BE712" s="12"/>
      <c r="BG712" s="12"/>
      <c r="BH712" s="12"/>
      <c r="BJ712" s="12"/>
      <c r="BK712" s="12"/>
      <c r="BM712" s="12"/>
      <c r="BN712" s="12"/>
      <c r="BQ712" s="12"/>
      <c r="BR712" s="12"/>
      <c r="BU712" s="12"/>
      <c r="BV712" s="12"/>
      <c r="BY712" s="12"/>
      <c r="BZ712" s="12"/>
      <c r="CC712" s="12"/>
      <c r="CD712" s="12"/>
      <c r="CG712" s="12"/>
      <c r="CH712" s="12"/>
      <c r="CJ712" s="12"/>
      <c r="CK712" s="12"/>
      <c r="CN712" s="12"/>
      <c r="CO712" s="12"/>
      <c r="CV712" s="12"/>
      <c r="CW712" s="12"/>
      <c r="CZ712" s="12"/>
      <c r="DA712" s="12"/>
      <c r="DC712" s="12"/>
      <c r="DD712" s="12"/>
      <c r="EX712" s="9"/>
      <c r="EY712" s="9"/>
      <c r="EZ712" s="9"/>
      <c r="FA712" s="15"/>
      <c r="FB712" s="14"/>
      <c r="FC712" s="10"/>
      <c r="FD712" s="10"/>
      <c r="FE712" s="10"/>
      <c r="FF712" s="10"/>
    </row>
    <row r="713" spans="36:162" x14ac:dyDescent="0.25">
      <c r="AJ713" s="12"/>
      <c r="AK713" s="12"/>
      <c r="AQ713" s="12"/>
      <c r="AR713" s="12"/>
      <c r="AU713" s="12"/>
      <c r="AV713" s="12"/>
      <c r="AX713" s="12"/>
      <c r="AY713" s="12"/>
      <c r="BA713" s="12"/>
      <c r="BB713" s="12"/>
      <c r="BD713" s="12"/>
      <c r="BE713" s="12"/>
      <c r="BG713" s="12"/>
      <c r="BH713" s="12"/>
      <c r="BJ713" s="12"/>
      <c r="BK713" s="12"/>
      <c r="BM713" s="12"/>
      <c r="BN713" s="12"/>
      <c r="BQ713" s="12"/>
      <c r="BR713" s="12"/>
      <c r="BU713" s="12"/>
      <c r="BV713" s="12"/>
      <c r="BY713" s="12"/>
      <c r="BZ713" s="12"/>
      <c r="CC713" s="12"/>
      <c r="CD713" s="12"/>
      <c r="CG713" s="12"/>
      <c r="CH713" s="12"/>
      <c r="CJ713" s="12"/>
      <c r="CK713" s="12"/>
      <c r="CN713" s="12"/>
      <c r="CO713" s="12"/>
      <c r="CV713" s="12"/>
      <c r="CW713" s="12"/>
      <c r="CZ713" s="12"/>
      <c r="DA713" s="12"/>
      <c r="DC713" s="12"/>
      <c r="DD713" s="12"/>
      <c r="EX713" s="9"/>
      <c r="EY713" s="9"/>
      <c r="EZ713" s="9"/>
      <c r="FA713" s="15"/>
      <c r="FB713" s="14"/>
      <c r="FC713" s="10"/>
      <c r="FD713" s="10"/>
      <c r="FE713" s="10"/>
      <c r="FF713" s="10"/>
    </row>
    <row r="714" spans="36:162" x14ac:dyDescent="0.25">
      <c r="AJ714" s="12"/>
      <c r="AK714" s="12"/>
      <c r="AQ714" s="12"/>
      <c r="AR714" s="12"/>
      <c r="AU714" s="12"/>
      <c r="AV714" s="12"/>
      <c r="AX714" s="12"/>
      <c r="AY714" s="12"/>
      <c r="BA714" s="12"/>
      <c r="BB714" s="12"/>
      <c r="BD714" s="12"/>
      <c r="BE714" s="12"/>
      <c r="BG714" s="12"/>
      <c r="BH714" s="12"/>
      <c r="BJ714" s="12"/>
      <c r="BK714" s="12"/>
      <c r="BM714" s="12"/>
      <c r="BN714" s="12"/>
      <c r="BQ714" s="12"/>
      <c r="BR714" s="12"/>
      <c r="BU714" s="12"/>
      <c r="BV714" s="12"/>
      <c r="BY714" s="12"/>
      <c r="BZ714" s="12"/>
      <c r="CC714" s="12"/>
      <c r="CD714" s="12"/>
      <c r="CG714" s="12"/>
      <c r="CH714" s="12"/>
      <c r="CJ714" s="12"/>
      <c r="CK714" s="12"/>
      <c r="CN714" s="12"/>
      <c r="CO714" s="12"/>
      <c r="CV714" s="12"/>
      <c r="CW714" s="12"/>
      <c r="CZ714" s="12"/>
      <c r="DA714" s="12"/>
      <c r="DC714" s="12"/>
      <c r="DD714" s="12"/>
      <c r="EX714" s="9"/>
      <c r="EY714" s="9"/>
      <c r="EZ714" s="9"/>
      <c r="FA714" s="15"/>
      <c r="FB714" s="14"/>
      <c r="FC714" s="10"/>
      <c r="FD714" s="10"/>
      <c r="FE714" s="10"/>
      <c r="FF714" s="10"/>
    </row>
    <row r="715" spans="36:162" x14ac:dyDescent="0.25">
      <c r="AJ715" s="12"/>
      <c r="AK715" s="12"/>
      <c r="AQ715" s="12"/>
      <c r="AR715" s="12"/>
      <c r="AU715" s="12"/>
      <c r="AV715" s="12"/>
      <c r="AX715" s="12"/>
      <c r="AY715" s="12"/>
      <c r="BA715" s="12"/>
      <c r="BB715" s="12"/>
      <c r="BD715" s="12"/>
      <c r="BE715" s="12"/>
      <c r="BG715" s="12"/>
      <c r="BH715" s="12"/>
      <c r="BJ715" s="12"/>
      <c r="BK715" s="12"/>
      <c r="BM715" s="12"/>
      <c r="BN715" s="12"/>
      <c r="BQ715" s="12"/>
      <c r="BR715" s="12"/>
      <c r="BU715" s="12"/>
      <c r="BV715" s="12"/>
      <c r="BY715" s="12"/>
      <c r="BZ715" s="12"/>
      <c r="CC715" s="12"/>
      <c r="CD715" s="12"/>
      <c r="CG715" s="12"/>
      <c r="CH715" s="12"/>
      <c r="CJ715" s="12"/>
      <c r="CK715" s="12"/>
      <c r="CN715" s="12"/>
      <c r="CO715" s="12"/>
      <c r="CV715" s="12"/>
      <c r="CW715" s="12"/>
      <c r="CZ715" s="12"/>
      <c r="DA715" s="12"/>
      <c r="DC715" s="12"/>
      <c r="DD715" s="12"/>
      <c r="EX715" s="9"/>
      <c r="EY715" s="9"/>
      <c r="EZ715" s="9"/>
      <c r="FA715" s="15"/>
      <c r="FB715" s="14"/>
      <c r="FC715" s="10"/>
      <c r="FD715" s="10"/>
      <c r="FE715" s="10"/>
      <c r="FF715" s="10"/>
    </row>
    <row r="716" spans="36:162" x14ac:dyDescent="0.25">
      <c r="AJ716" s="12"/>
      <c r="AK716" s="12"/>
      <c r="AQ716" s="12"/>
      <c r="AR716" s="12"/>
      <c r="AU716" s="12"/>
      <c r="AV716" s="12"/>
      <c r="AX716" s="12"/>
      <c r="AY716" s="12"/>
      <c r="BA716" s="12"/>
      <c r="BB716" s="12"/>
      <c r="BD716" s="12"/>
      <c r="BE716" s="12"/>
      <c r="BG716" s="12"/>
      <c r="BH716" s="12"/>
      <c r="BJ716" s="12"/>
      <c r="BK716" s="12"/>
      <c r="BM716" s="12"/>
      <c r="BN716" s="12"/>
      <c r="BQ716" s="12"/>
      <c r="BR716" s="12"/>
      <c r="BU716" s="12"/>
      <c r="BV716" s="12"/>
      <c r="BY716" s="12"/>
      <c r="BZ716" s="12"/>
      <c r="CC716" s="12"/>
      <c r="CD716" s="12"/>
      <c r="CG716" s="12"/>
      <c r="CH716" s="12"/>
      <c r="CJ716" s="12"/>
      <c r="CK716" s="12"/>
      <c r="CN716" s="12"/>
      <c r="CO716" s="12"/>
      <c r="CV716" s="12"/>
      <c r="CW716" s="12"/>
      <c r="CZ716" s="12"/>
      <c r="DA716" s="12"/>
      <c r="DC716" s="12"/>
      <c r="DD716" s="12"/>
      <c r="EX716" s="9"/>
      <c r="EY716" s="9"/>
      <c r="EZ716" s="9"/>
      <c r="FA716" s="15"/>
      <c r="FB716" s="14"/>
      <c r="FC716" s="10"/>
      <c r="FD716" s="10"/>
      <c r="FE716" s="10"/>
      <c r="FF716" s="10"/>
    </row>
    <row r="717" spans="36:162" x14ac:dyDescent="0.25">
      <c r="AJ717" s="12"/>
      <c r="AK717" s="12"/>
      <c r="AQ717" s="12"/>
      <c r="AR717" s="12"/>
      <c r="AU717" s="12"/>
      <c r="AV717" s="12"/>
      <c r="AX717" s="12"/>
      <c r="AY717" s="12"/>
      <c r="BA717" s="12"/>
      <c r="BB717" s="12"/>
      <c r="BD717" s="12"/>
      <c r="BE717" s="12"/>
      <c r="BG717" s="12"/>
      <c r="BH717" s="12"/>
      <c r="BJ717" s="12"/>
      <c r="BK717" s="12"/>
      <c r="BM717" s="12"/>
      <c r="BN717" s="12"/>
      <c r="BQ717" s="12"/>
      <c r="BR717" s="12"/>
      <c r="BU717" s="12"/>
      <c r="BV717" s="12"/>
      <c r="BY717" s="12"/>
      <c r="BZ717" s="12"/>
      <c r="CC717" s="12"/>
      <c r="CD717" s="12"/>
      <c r="CG717" s="12"/>
      <c r="CH717" s="12"/>
      <c r="CJ717" s="12"/>
      <c r="CK717" s="12"/>
      <c r="CN717" s="12"/>
      <c r="CO717" s="12"/>
      <c r="CV717" s="12"/>
      <c r="CW717" s="12"/>
      <c r="CZ717" s="12"/>
      <c r="DA717" s="12"/>
      <c r="DC717" s="12"/>
      <c r="DD717" s="12"/>
      <c r="EX717" s="9"/>
      <c r="EY717" s="9"/>
      <c r="EZ717" s="9"/>
      <c r="FA717" s="15"/>
      <c r="FB717" s="14"/>
      <c r="FC717" s="10"/>
      <c r="FD717" s="10"/>
      <c r="FE717" s="10"/>
      <c r="FF717" s="10"/>
    </row>
    <row r="718" spans="36:162" x14ac:dyDescent="0.25">
      <c r="AJ718" s="12"/>
      <c r="AK718" s="12"/>
      <c r="AQ718" s="12"/>
      <c r="AR718" s="12"/>
      <c r="AU718" s="12"/>
      <c r="AV718" s="12"/>
      <c r="AX718" s="12"/>
      <c r="AY718" s="12"/>
      <c r="BA718" s="12"/>
      <c r="BB718" s="12"/>
      <c r="BD718" s="12"/>
      <c r="BE718" s="12"/>
      <c r="BG718" s="12"/>
      <c r="BH718" s="12"/>
      <c r="BJ718" s="12"/>
      <c r="BK718" s="12"/>
      <c r="BM718" s="12"/>
      <c r="BN718" s="12"/>
      <c r="BQ718" s="12"/>
      <c r="BR718" s="12"/>
      <c r="BU718" s="12"/>
      <c r="BV718" s="12"/>
      <c r="BY718" s="12"/>
      <c r="BZ718" s="12"/>
      <c r="CC718" s="12"/>
      <c r="CD718" s="12"/>
      <c r="CG718" s="12"/>
      <c r="CH718" s="12"/>
      <c r="CJ718" s="12"/>
      <c r="CK718" s="12"/>
      <c r="CN718" s="12"/>
      <c r="CO718" s="12"/>
      <c r="CV718" s="12"/>
      <c r="CW718" s="12"/>
      <c r="CZ718" s="12"/>
      <c r="DA718" s="12"/>
      <c r="DC718" s="12"/>
      <c r="DD718" s="12"/>
      <c r="EX718" s="9"/>
      <c r="EY718" s="9"/>
      <c r="EZ718" s="9"/>
      <c r="FA718" s="15"/>
      <c r="FB718" s="14"/>
      <c r="FC718" s="10"/>
      <c r="FD718" s="10"/>
      <c r="FE718" s="10"/>
      <c r="FF718" s="10"/>
    </row>
    <row r="719" spans="36:162" x14ac:dyDescent="0.25">
      <c r="AJ719" s="12"/>
      <c r="AK719" s="12"/>
      <c r="AQ719" s="12"/>
      <c r="AR719" s="12"/>
      <c r="AU719" s="12"/>
      <c r="AV719" s="12"/>
      <c r="AX719" s="12"/>
      <c r="AY719" s="12"/>
      <c r="BA719" s="12"/>
      <c r="BB719" s="12"/>
      <c r="BD719" s="12"/>
      <c r="BE719" s="12"/>
      <c r="BG719" s="12"/>
      <c r="BH719" s="12"/>
      <c r="BJ719" s="12"/>
      <c r="BK719" s="12"/>
      <c r="BM719" s="12"/>
      <c r="BN719" s="12"/>
      <c r="BQ719" s="12"/>
      <c r="BR719" s="12"/>
      <c r="BU719" s="12"/>
      <c r="BV719" s="12"/>
      <c r="BY719" s="12"/>
      <c r="BZ719" s="12"/>
      <c r="CC719" s="12"/>
      <c r="CD719" s="12"/>
      <c r="CG719" s="12"/>
      <c r="CH719" s="12"/>
      <c r="CJ719" s="12"/>
      <c r="CK719" s="12"/>
      <c r="CN719" s="12"/>
      <c r="CO719" s="12"/>
      <c r="CV719" s="12"/>
      <c r="CW719" s="12"/>
      <c r="CZ719" s="12"/>
      <c r="DA719" s="12"/>
      <c r="DC719" s="12"/>
      <c r="DD719" s="12"/>
      <c r="EX719" s="9"/>
      <c r="EY719" s="9"/>
      <c r="EZ719" s="9"/>
      <c r="FA719" s="15"/>
      <c r="FB719" s="14"/>
      <c r="FC719" s="10"/>
      <c r="FD719" s="10"/>
      <c r="FE719" s="10"/>
      <c r="FF719" s="10"/>
    </row>
    <row r="720" spans="36:162" x14ac:dyDescent="0.25">
      <c r="AJ720" s="12"/>
      <c r="AK720" s="12"/>
      <c r="AQ720" s="12"/>
      <c r="AR720" s="12"/>
      <c r="AU720" s="12"/>
      <c r="AV720" s="12"/>
      <c r="AX720" s="12"/>
      <c r="AY720" s="12"/>
      <c r="BA720" s="12"/>
      <c r="BB720" s="12"/>
      <c r="BD720" s="12"/>
      <c r="BE720" s="12"/>
      <c r="BG720" s="12"/>
      <c r="BH720" s="12"/>
      <c r="BJ720" s="12"/>
      <c r="BK720" s="12"/>
      <c r="BM720" s="12"/>
      <c r="BN720" s="12"/>
      <c r="BQ720" s="12"/>
      <c r="BR720" s="12"/>
      <c r="BU720" s="12"/>
      <c r="BV720" s="12"/>
      <c r="BY720" s="12"/>
      <c r="BZ720" s="12"/>
      <c r="CC720" s="12"/>
      <c r="CD720" s="12"/>
      <c r="CG720" s="12"/>
      <c r="CH720" s="12"/>
      <c r="CJ720" s="12"/>
      <c r="CK720" s="12"/>
      <c r="CN720" s="12"/>
      <c r="CO720" s="12"/>
      <c r="CV720" s="12"/>
      <c r="CW720" s="12"/>
      <c r="CZ720" s="12"/>
      <c r="DA720" s="12"/>
      <c r="DC720" s="12"/>
      <c r="DD720" s="12"/>
      <c r="EX720" s="9"/>
      <c r="EY720" s="9"/>
      <c r="EZ720" s="9"/>
      <c r="FA720" s="15"/>
      <c r="FB720" s="14"/>
      <c r="FC720" s="10"/>
      <c r="FD720" s="10"/>
      <c r="FE720" s="10"/>
      <c r="FF720" s="10"/>
    </row>
    <row r="721" spans="36:162" x14ac:dyDescent="0.25">
      <c r="AJ721" s="12"/>
      <c r="AK721" s="12"/>
      <c r="AQ721" s="12"/>
      <c r="AR721" s="12"/>
      <c r="AU721" s="12"/>
      <c r="AV721" s="12"/>
      <c r="AX721" s="12"/>
      <c r="AY721" s="12"/>
      <c r="BA721" s="12"/>
      <c r="BB721" s="12"/>
      <c r="BD721" s="12"/>
      <c r="BE721" s="12"/>
      <c r="BG721" s="12"/>
      <c r="BH721" s="12"/>
      <c r="BJ721" s="12"/>
      <c r="BK721" s="12"/>
      <c r="BM721" s="12"/>
      <c r="BN721" s="12"/>
      <c r="BQ721" s="12"/>
      <c r="BR721" s="12"/>
      <c r="BU721" s="12"/>
      <c r="BV721" s="12"/>
      <c r="BY721" s="12"/>
      <c r="BZ721" s="12"/>
      <c r="CC721" s="12"/>
      <c r="CD721" s="12"/>
      <c r="CG721" s="12"/>
      <c r="CH721" s="12"/>
      <c r="CJ721" s="12"/>
      <c r="CK721" s="12"/>
      <c r="CN721" s="12"/>
      <c r="CO721" s="12"/>
      <c r="CV721" s="12"/>
      <c r="CW721" s="12"/>
      <c r="CZ721" s="12"/>
      <c r="DA721" s="12"/>
      <c r="DC721" s="12"/>
      <c r="DD721" s="12"/>
      <c r="EX721" s="9"/>
      <c r="EY721" s="9"/>
      <c r="EZ721" s="9"/>
      <c r="FA721" s="15"/>
      <c r="FB721" s="14"/>
      <c r="FC721" s="10"/>
      <c r="FD721" s="10"/>
      <c r="FE721" s="10"/>
      <c r="FF721" s="10"/>
    </row>
    <row r="722" spans="36:162" x14ac:dyDescent="0.25">
      <c r="AJ722" s="12"/>
      <c r="AK722" s="12"/>
      <c r="AQ722" s="12"/>
      <c r="AR722" s="12"/>
      <c r="AU722" s="12"/>
      <c r="AV722" s="12"/>
      <c r="AX722" s="12"/>
      <c r="AY722" s="12"/>
      <c r="BA722" s="12"/>
      <c r="BB722" s="12"/>
      <c r="BD722" s="12"/>
      <c r="BE722" s="12"/>
      <c r="BG722" s="12"/>
      <c r="BH722" s="12"/>
      <c r="BJ722" s="12"/>
      <c r="BK722" s="12"/>
      <c r="BM722" s="12"/>
      <c r="BN722" s="12"/>
      <c r="BQ722" s="12"/>
      <c r="BR722" s="12"/>
      <c r="BU722" s="12"/>
      <c r="BV722" s="12"/>
      <c r="BY722" s="12"/>
      <c r="BZ722" s="12"/>
      <c r="CC722" s="12"/>
      <c r="CD722" s="12"/>
      <c r="CG722" s="12"/>
      <c r="CH722" s="12"/>
      <c r="CJ722" s="12"/>
      <c r="CK722" s="12"/>
      <c r="CN722" s="12"/>
      <c r="CO722" s="12"/>
      <c r="CV722" s="12"/>
      <c r="CW722" s="12"/>
      <c r="CZ722" s="12"/>
      <c r="DA722" s="12"/>
      <c r="DC722" s="12"/>
      <c r="DD722" s="12"/>
      <c r="EX722" s="9"/>
      <c r="EY722" s="9"/>
      <c r="EZ722" s="9"/>
      <c r="FA722" s="15"/>
      <c r="FB722" s="14"/>
      <c r="FC722" s="10"/>
      <c r="FD722" s="10"/>
      <c r="FE722" s="10"/>
      <c r="FF722" s="10"/>
    </row>
    <row r="723" spans="36:162" x14ac:dyDescent="0.25">
      <c r="AJ723" s="12"/>
      <c r="AK723" s="12"/>
      <c r="AQ723" s="12"/>
      <c r="AR723" s="12"/>
      <c r="AU723" s="12"/>
      <c r="AV723" s="12"/>
      <c r="AX723" s="12"/>
      <c r="AY723" s="12"/>
      <c r="BA723" s="12"/>
      <c r="BB723" s="12"/>
      <c r="BD723" s="12"/>
      <c r="BE723" s="12"/>
      <c r="BG723" s="12"/>
      <c r="BH723" s="12"/>
      <c r="BJ723" s="12"/>
      <c r="BK723" s="12"/>
      <c r="BM723" s="12"/>
      <c r="BN723" s="12"/>
      <c r="BQ723" s="12"/>
      <c r="BR723" s="12"/>
      <c r="BU723" s="12"/>
      <c r="BV723" s="12"/>
      <c r="BY723" s="12"/>
      <c r="BZ723" s="12"/>
      <c r="CC723" s="12"/>
      <c r="CD723" s="12"/>
      <c r="CG723" s="12"/>
      <c r="CH723" s="12"/>
      <c r="CJ723" s="12"/>
      <c r="CK723" s="12"/>
      <c r="CN723" s="12"/>
      <c r="CO723" s="12"/>
      <c r="CV723" s="12"/>
      <c r="CW723" s="12"/>
      <c r="CZ723" s="12"/>
      <c r="DA723" s="12"/>
      <c r="DC723" s="12"/>
      <c r="DD723" s="12"/>
      <c r="EX723" s="9"/>
      <c r="EY723" s="9"/>
      <c r="EZ723" s="9"/>
      <c r="FA723" s="15"/>
      <c r="FB723" s="14"/>
      <c r="FC723" s="10"/>
      <c r="FD723" s="10"/>
      <c r="FE723" s="10"/>
      <c r="FF723" s="10"/>
    </row>
    <row r="724" spans="36:162" x14ac:dyDescent="0.25">
      <c r="EX724" s="9"/>
      <c r="EY724" s="9"/>
      <c r="EZ724" s="9"/>
      <c r="FA724" s="15"/>
      <c r="FB724" s="14"/>
      <c r="FC724" s="10"/>
      <c r="FD724" s="10"/>
      <c r="FE724" s="10"/>
      <c r="FF724" s="10"/>
    </row>
  </sheetData>
  <autoFilter ref="A1:FH724"/>
  <conditionalFormatting sqref="A1">
    <cfRule type="duplicateValues" dxfId="1" priority="1"/>
  </conditionalFormatting>
  <conditionalFormatting sqref="A1:A2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JULIO 2025</vt:lpstr>
      <vt:lpstr>'JULIO 2025'!DATOS_AGO_OC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M2PC45</dc:creator>
  <cp:lastModifiedBy>ANDREA</cp:lastModifiedBy>
  <cp:lastPrinted>2024-05-03T19:53:01Z</cp:lastPrinted>
  <dcterms:created xsi:type="dcterms:W3CDTF">2023-08-03T14:34:32Z</dcterms:created>
  <dcterms:modified xsi:type="dcterms:W3CDTF">2026-02-23T22:58:05Z</dcterms:modified>
</cp:coreProperties>
</file>